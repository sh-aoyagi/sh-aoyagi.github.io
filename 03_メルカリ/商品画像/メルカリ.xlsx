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600" yWindow="50" windowWidth="13990" windowHeight="7020" activeTab="4"/>
  </bookViews>
  <sheets>
    <sheet name="仕入れ" sheetId="1" r:id="rId1"/>
    <sheet name="ページ" sheetId="2" r:id="rId2"/>
    <sheet name="売却済み" sheetId="3" r:id="rId3"/>
    <sheet name="生活費" sheetId="4" r:id="rId4"/>
    <sheet name="いいね！タイミング調査" sheetId="6" r:id="rId5"/>
    <sheet name="Sheet1" sheetId="7" r:id="rId6"/>
  </sheets>
  <calcPr calcId="145621"/>
</workbook>
</file>

<file path=xl/calcChain.xml><?xml version="1.0" encoding="utf-8"?>
<calcChain xmlns="http://schemas.openxmlformats.org/spreadsheetml/2006/main">
  <c r="AA33" i="6" l="1"/>
  <c r="Z33" i="6"/>
  <c r="Y33" i="6"/>
  <c r="X33" i="6"/>
  <c r="W33" i="6"/>
  <c r="V33" i="6"/>
  <c r="U33" i="6"/>
  <c r="T33" i="6"/>
  <c r="S33" i="6"/>
  <c r="R33" i="6"/>
  <c r="Q33" i="6"/>
  <c r="P33" i="6"/>
  <c r="O33" i="6"/>
  <c r="N33" i="6"/>
  <c r="M33" i="6"/>
  <c r="L33" i="6"/>
  <c r="P153" i="2" l="1"/>
  <c r="W153" i="2" s="1"/>
  <c r="E153" i="2"/>
  <c r="L153" i="2" s="1"/>
  <c r="L3" i="2" l="1"/>
  <c r="K3" i="2"/>
  <c r="P99" i="2"/>
  <c r="P105" i="2"/>
  <c r="E105" i="2"/>
  <c r="E111" i="2"/>
  <c r="L111" i="2" s="1"/>
  <c r="P111" i="2"/>
  <c r="W111" i="2" s="1"/>
  <c r="P117" i="2"/>
  <c r="E117" i="2"/>
  <c r="E123" i="2"/>
  <c r="P123" i="2"/>
  <c r="W123" i="2" s="1"/>
  <c r="P129" i="2"/>
  <c r="W129" i="2" s="1"/>
  <c r="E129" i="2"/>
  <c r="L129" i="2" s="1"/>
  <c r="E135" i="2"/>
  <c r="L135" i="2" s="1"/>
  <c r="P135" i="2"/>
  <c r="W135" i="2" s="1"/>
  <c r="E141" i="2"/>
  <c r="L141" i="2" s="1"/>
  <c r="P141" i="2"/>
  <c r="P147" i="2"/>
  <c r="W147" i="2" s="1"/>
  <c r="E147" i="2"/>
  <c r="L147" i="2" s="1"/>
  <c r="W141" i="2"/>
  <c r="L123" i="2"/>
  <c r="W117" i="2"/>
  <c r="L117" i="2"/>
  <c r="E93" i="2" l="1"/>
  <c r="G3" i="3" l="1"/>
  <c r="H3" i="3"/>
  <c r="E21" i="2"/>
  <c r="E9" i="2"/>
  <c r="W99" i="2"/>
  <c r="W93" i="2"/>
  <c r="P93" i="2"/>
  <c r="P21" i="2"/>
  <c r="W3" i="2"/>
  <c r="B3" i="3"/>
  <c r="D3" i="3"/>
  <c r="C3" i="3"/>
  <c r="D81" i="3"/>
  <c r="D99" i="3"/>
  <c r="D105" i="3"/>
  <c r="K105" i="3" s="1"/>
  <c r="D111" i="3"/>
  <c r="D93" i="3"/>
  <c r="D87" i="3"/>
  <c r="D75" i="3"/>
  <c r="D69" i="3"/>
  <c r="D63" i="3"/>
  <c r="F3" i="3"/>
  <c r="K99" i="3"/>
  <c r="K111" i="3"/>
  <c r="M3" i="2" l="1"/>
  <c r="P3" i="2" s="1"/>
  <c r="Q3" i="2" s="1"/>
  <c r="O3" i="2"/>
  <c r="J42" i="4"/>
  <c r="J41" i="4"/>
  <c r="J37" i="4"/>
  <c r="J36" i="4"/>
  <c r="G28" i="4"/>
  <c r="I33" i="4"/>
  <c r="I37" i="4" s="1"/>
  <c r="G33" i="4"/>
  <c r="G34" i="4"/>
  <c r="E36" i="4"/>
  <c r="E38" i="4"/>
  <c r="G38" i="4" s="1"/>
  <c r="H38" i="4" s="1"/>
  <c r="H41" i="4" s="1"/>
  <c r="E37" i="4"/>
  <c r="N3" i="2" l="1"/>
  <c r="I38" i="4"/>
  <c r="J38" i="4" s="1"/>
  <c r="J43" i="4" s="1"/>
  <c r="I36" i="4"/>
  <c r="U67" i="4"/>
  <c r="U68" i="4"/>
  <c r="U69" i="4"/>
  <c r="U70" i="4"/>
  <c r="U71" i="4"/>
  <c r="U72" i="4"/>
  <c r="U73" i="4"/>
  <c r="U74" i="4"/>
  <c r="U75" i="4"/>
  <c r="U76" i="4"/>
  <c r="U77" i="4"/>
  <c r="U78" i="4"/>
  <c r="U79" i="4"/>
  <c r="U80" i="4"/>
  <c r="U81" i="4"/>
  <c r="U82" i="4"/>
  <c r="U83" i="4"/>
  <c r="U84" i="4"/>
  <c r="U85" i="4"/>
  <c r="U86" i="4"/>
  <c r="U87" i="4"/>
  <c r="U88" i="4"/>
  <c r="U89" i="4"/>
  <c r="U66" i="4"/>
  <c r="U90" i="4" s="1"/>
  <c r="G3" i="4"/>
  <c r="K93" i="3"/>
  <c r="K87" i="3"/>
  <c r="K81" i="3"/>
  <c r="K75" i="3"/>
  <c r="D9" i="3" l="1"/>
  <c r="D15" i="3"/>
  <c r="D21" i="3"/>
  <c r="D27" i="3"/>
  <c r="D33" i="3"/>
  <c r="D39" i="3"/>
  <c r="D45" i="3"/>
  <c r="D51" i="3"/>
  <c r="D57" i="3"/>
  <c r="K69" i="3"/>
  <c r="K63" i="3"/>
  <c r="E3" i="3" l="1"/>
  <c r="K57" i="3"/>
  <c r="K51" i="3" l="1"/>
  <c r="K45" i="3"/>
  <c r="K39" i="3"/>
  <c r="P3" i="3"/>
  <c r="K33" i="3" l="1"/>
  <c r="I7" i="4"/>
  <c r="K7" i="4"/>
  <c r="G20" i="4"/>
  <c r="C74" i="4"/>
  <c r="C75" i="4" s="1"/>
  <c r="B69" i="4"/>
  <c r="B64" i="4"/>
  <c r="B71" i="4" s="1"/>
  <c r="B73" i="4" s="1"/>
  <c r="F15" i="4"/>
  <c r="G15" i="4" s="1"/>
  <c r="G17" i="4" s="1"/>
  <c r="G21" i="4" s="1"/>
  <c r="G26" i="4"/>
  <c r="L10" i="4" l="1"/>
  <c r="M10" i="4" s="1"/>
  <c r="K4" i="4"/>
  <c r="L4" i="4" s="1"/>
  <c r="L7" i="4"/>
  <c r="K27" i="3"/>
  <c r="K21" i="3"/>
  <c r="K15" i="3" l="1"/>
  <c r="K9" i="3"/>
  <c r="W21" i="2"/>
  <c r="L21" i="2"/>
  <c r="L15" i="2"/>
  <c r="P9" i="2"/>
  <c r="W9" i="2" s="1"/>
  <c r="L9" i="2"/>
  <c r="G3" i="2"/>
  <c r="L105" i="2" l="1"/>
  <c r="W105" i="2"/>
  <c r="E99" i="2"/>
  <c r="L99" i="2" s="1"/>
  <c r="V3" i="2"/>
  <c r="P81" i="2"/>
  <c r="W81" i="2" s="1"/>
  <c r="L81" i="2"/>
  <c r="L93" i="2"/>
  <c r="W87" i="2"/>
  <c r="E87" i="2"/>
  <c r="L87" i="2" s="1"/>
  <c r="W15" i="2"/>
  <c r="P33" i="2"/>
  <c r="W33" i="2" s="1"/>
  <c r="W51" i="2"/>
  <c r="P45" i="2"/>
  <c r="W45" i="2" s="1"/>
  <c r="L69" i="2"/>
  <c r="L51" i="2"/>
  <c r="L45" i="2"/>
  <c r="W39" i="2"/>
  <c r="L39" i="2"/>
  <c r="P27" i="2"/>
  <c r="W27" i="2" s="1"/>
  <c r="P75" i="2"/>
  <c r="W75" i="2" s="1"/>
  <c r="L75" i="2"/>
  <c r="W69" i="2"/>
  <c r="E63" i="2"/>
  <c r="L63" i="2" s="1"/>
  <c r="W57" i="2"/>
  <c r="E33" i="2"/>
  <c r="L33" i="2" s="1"/>
  <c r="E57" i="2"/>
  <c r="L57" i="2" s="1"/>
  <c r="P63" i="2"/>
  <c r="W63" i="2" s="1"/>
  <c r="E27" i="2"/>
  <c r="L27" i="2" s="1"/>
</calcChain>
</file>

<file path=xl/sharedStrings.xml><?xml version="1.0" encoding="utf-8"?>
<sst xmlns="http://schemas.openxmlformats.org/spreadsheetml/2006/main" count="1260" uniqueCount="309">
  <si>
    <t>利益率</t>
    <rPh sb="0" eb="3">
      <t>リエキリツ</t>
    </rPh>
    <phoneticPr fontId="2"/>
  </si>
  <si>
    <t>売上</t>
    <rPh sb="0" eb="2">
      <t>ウリアゲ</t>
    </rPh>
    <phoneticPr fontId="2"/>
  </si>
  <si>
    <t>送料</t>
    <rPh sb="0" eb="2">
      <t>ソウリョウ</t>
    </rPh>
    <phoneticPr fontId="2"/>
  </si>
  <si>
    <t>手数料</t>
    <rPh sb="0" eb="3">
      <t>テスウリョウ</t>
    </rPh>
    <phoneticPr fontId="2"/>
  </si>
  <si>
    <t>利益</t>
    <rPh sb="0" eb="2">
      <t>リエキ</t>
    </rPh>
    <phoneticPr fontId="2"/>
  </si>
  <si>
    <t>参考価格</t>
    <rPh sb="0" eb="2">
      <t>サンコウ</t>
    </rPh>
    <rPh sb="2" eb="4">
      <t>カカク</t>
    </rPh>
    <phoneticPr fontId="2"/>
  </si>
  <si>
    <t>1st</t>
    <phoneticPr fontId="2"/>
  </si>
  <si>
    <t>2nd</t>
    <phoneticPr fontId="2"/>
  </si>
  <si>
    <t>3rd</t>
    <phoneticPr fontId="2"/>
  </si>
  <si>
    <t>売価</t>
    <rPh sb="0" eb="2">
      <t>バイカ</t>
    </rPh>
    <phoneticPr fontId="2"/>
  </si>
  <si>
    <t>仕入れ値</t>
    <rPh sb="0" eb="2">
      <t>シイ</t>
    </rPh>
    <rPh sb="3" eb="4">
      <t>ネ</t>
    </rPh>
    <phoneticPr fontId="2"/>
  </si>
  <si>
    <t>利益</t>
    <rPh sb="0" eb="2">
      <t>リエキ</t>
    </rPh>
    <phoneticPr fontId="2"/>
  </si>
  <si>
    <t>利益率</t>
    <rPh sb="0" eb="3">
      <t>リエキリツ</t>
    </rPh>
    <phoneticPr fontId="2"/>
  </si>
  <si>
    <t>タイトル</t>
    <phoneticPr fontId="2"/>
  </si>
  <si>
    <t>画像</t>
    <rPh sb="0" eb="2">
      <t>ガゾウ</t>
    </rPh>
    <phoneticPr fontId="2"/>
  </si>
  <si>
    <t>【デッドストック】箱・黒タグ付き未使用品です。
■ 品番：DH7913-001
■ カラー：Black/Pure Platinum "Zebra"
■ サイズ：26.5cm
■ 状態：新品未使用（箱付き・タグ付き）
2021年発売のAnimal Pack。
ブラックレザー×ゼブラ柄スエードの
唯一無二のワイルドな配色が今も根強い人気。
日本定価13,200円のモデルを即買いチャンス。
✅ 即購入OK
✅ あんしん鑑定対応可
✅ 質問・追加写真はお気軽に
#NikeDunk
#ダンクロー
#Zebra
#ゼブラ
#DH7913
#AnimalPack
#デッドストック
#ナイキ</t>
    <phoneticPr fontId="2"/>
  </si>
  <si>
    <t>商品説明</t>
    <phoneticPr fontId="2"/>
  </si>
  <si>
    <t>AJ1 Mid SE Craft Dark Smoke Grey 28.5cm</t>
    <phoneticPr fontId="2"/>
  </si>
  <si>
    <t>Nike Field General PRM Snake 27.5cm 未使用</t>
    <phoneticPr fontId="2"/>
  </si>
  <si>
    <t>【未使用】2025年9月発売の話題作です。
■ モデル：Nike Field General PRM
■ カラー：Black/Gum "Snake"
■ サイズ：27.5cm
■ 状態：新品未使用
1982年生まれのフットボールシューズを現代に復刻。
2025年の干支「巳（蛇）」をテーマにしたスネーク柄
ポニーヘアアッパーが唯一無二の存在感を放つ限定モデル。
ナイキ伝統のワッフルソールもオレンジで統一された
コレクター垂涎の一足です。
✅ 即購入OK
✅ あんしん鑑定対応可
✅ 質問・追加写真はお気軽に
#NikeFieldGeneral
#フィールドジェネラル
#スネーク
#巳年
#ナイキ
#Snake
#限定</t>
    <phoneticPr fontId="2"/>
  </si>
  <si>
    <t>Nike Dunk Low PRM Zebra 26.5cm 箱付 未使用</t>
    <phoneticPr fontId="2"/>
  </si>
  <si>
    <t>ニューエラ×HUFのクラシクタイプのベースボールキャップ
サイズは 7 1/4
カラーは黒に近いネイビー。
フロントパネルにはお馴染みの「H」ロゴをON。
パネル間はホワイトのパイピングが用いられオーセンティックな雰囲気漂う仕上がりとなっています。
数年前に絶版となった貴重なものですので、この機会にぜひ。</t>
    <phoneticPr fontId="2"/>
  </si>
  <si>
    <t>Rirana Parfumeのサンプル11種セットです。
きっと気にいる香りがあるはずです。
お試しください！</t>
    <phoneticPr fontId="2"/>
  </si>
  <si>
    <t>ニューエラ×HUF</t>
    <phoneticPr fontId="2"/>
  </si>
  <si>
    <t>Rirana Parfum</t>
    <phoneticPr fontId="2"/>
  </si>
  <si>
    <t>DSL</t>
    <phoneticPr fontId="2"/>
  </si>
  <si>
    <t>NYC</t>
    <phoneticPr fontId="2"/>
  </si>
  <si>
    <t>B</t>
    <phoneticPr fontId="2"/>
  </si>
  <si>
    <t>D&amp;G Dolce&amp;Gabbana デニムシャツ M 美品</t>
    <phoneticPr fontId="2"/>
  </si>
  <si>
    <t>【美品】大手ブランド古着店で購入した一点です。
着用回数少なく、目立った汚れ・破れ・臭いなし。
■ ブランド：D&amp;G / Dolce&amp;Gabbana
■ サイズ：M
■ カラー：ライトブルー
■ 状態：目立った傷・汚れなし
【実寸】
肩幅：42cm
身幅：50cm
着丈：65cm
袖丈：67cm
ドルチェ&amp;ガッバーナのD&amp;Gラインは
2011年に廃止されたヴィンテージライン。
今となっては入手困難なレアアイテムです。
デニム素材でカジュアルに着こなせる一枚。
✅ 即購入OK
✅ 質問・追加写真はお気軽に
#ドルチェアンドガッバーナ #DolceGabbana
#DG #デニムシャツ #ヴィンテージ #古着
#ブランド古着 #イタリア製</t>
    <phoneticPr fontId="2"/>
  </si>
  <si>
    <t>Supreme Small Box Logo Tee ホワイト XL 美品</t>
    <phoneticPr fontId="2"/>
  </si>
  <si>
    <t>【美品】目立つダメージ・汚れ・臭いなし。
首元・袖・裾まで全箇所確認済みのきれいな状態です。
■ ブランド：Supreme（シュプリーム）
■ モデル：Small Box Logo Tee
■ カラー：White（ホワイト）
■ サイズ：XL
【実寸】
肩幅：49cm / 身幅：60cm
袖丈：25cm / 着丈：78cm
165〜180cmの方にちょうどよいビッグシルエット。
胸元のスモールボックスロゴがさりげなく主張する
シュプリームの定番中の定番。
派手すぎず、どんなコーデにも合わせやすい一枚。
男女問わず着用いただけます。
✅ 即購入OK
✅ 質問・追加写真はお気軽に
#Supreme #シュプリーム #ボックスロゴ
#SmallBoxLogo #シュプリームTシャツ #ストリート</t>
    <phoneticPr fontId="2"/>
  </si>
  <si>
    <t>Supreme No More Shit Tee ブラック S 20FW</t>
    <phoneticPr fontId="2"/>
  </si>
  <si>
    <t>【2020FW】Supreme No More Shit Tee。
■ ブランド：Supreme（シュプリーム）
■ モデル：No More Shit Tee
■ カラー：ブラック
■ サイズ：S
■ 素材：コットン100%・Made in USA
■ 状態：やや使用感あり（目立つ汚れなし）
フロント左胸にボックスロゴ、
バックには「Help」「Faith」「EVILS」
「NO MORE SHIT」など様々な文字が
散りばめられたインパクト大のデザイン。
2019FW「Stop Crying」へのオマージュとも言える
コレクター心をくすぐる2020FWの名作。
※値下げは対応しておりません、ご了承ください。
✅ 即購入OK
✅ 質問・追加写真はお気軽に
#Supreme
#シュプリーム
#NoMoreShit
#シュプリームTシャツ
#2020FW
#MadeInUSA
#ストリート
#ボックスロゴ</t>
    <phoneticPr fontId="2"/>
  </si>
  <si>
    <t>-</t>
    <phoneticPr fontId="2"/>
  </si>
  <si>
    <t>送料</t>
    <rPh sb="0" eb="2">
      <t>ソウリョウ</t>
    </rPh>
    <phoneticPr fontId="2"/>
  </si>
  <si>
    <t>ゆうゆう</t>
    <phoneticPr fontId="2"/>
  </si>
  <si>
    <t>ヤマト</t>
    <phoneticPr fontId="2"/>
  </si>
  <si>
    <t>エコハイ</t>
    <phoneticPr fontId="2"/>
  </si>
  <si>
    <t>梱包</t>
    <rPh sb="0" eb="2">
      <t>コンポウ</t>
    </rPh>
    <phoneticPr fontId="2"/>
  </si>
  <si>
    <t>シール</t>
    <phoneticPr fontId="2"/>
  </si>
  <si>
    <t>郵送</t>
    <rPh sb="0" eb="2">
      <t>ユウソウ</t>
    </rPh>
    <phoneticPr fontId="2"/>
  </si>
  <si>
    <t>アロハ</t>
    <phoneticPr fontId="2"/>
  </si>
  <si>
    <t>投資額</t>
    <rPh sb="0" eb="3">
      <t>トウシガク</t>
    </rPh>
    <phoneticPr fontId="2"/>
  </si>
  <si>
    <t>手数料率</t>
    <rPh sb="0" eb="4">
      <t>テスウリョウリツ</t>
    </rPh>
    <phoneticPr fontId="2"/>
  </si>
  <si>
    <t>元まで</t>
    <rPh sb="0" eb="1">
      <t>モト</t>
    </rPh>
    <phoneticPr fontId="2"/>
  </si>
  <si>
    <t>カテゴリ</t>
  </si>
  <si>
    <t>項目</t>
  </si>
  <si>
    <t>固定費</t>
  </si>
  <si>
    <t>交通</t>
  </si>
  <si>
    <t>PASMO</t>
  </si>
  <si>
    <t>通信</t>
  </si>
  <si>
    <t>ドコモ</t>
  </si>
  <si>
    <t>光熱費</t>
  </si>
  <si>
    <t>東京電力</t>
  </si>
  <si>
    <t>ニチガス</t>
  </si>
  <si>
    <t>西武鉄道定期</t>
  </si>
  <si>
    <t>月平均利用回数</t>
  </si>
  <si>
    <t>月平均金額</t>
  </si>
  <si>
    <t>グッドラック（ネット）</t>
  </si>
  <si>
    <t>水</t>
    <rPh sb="0" eb="1">
      <t>ミズ</t>
    </rPh>
    <phoneticPr fontId="2"/>
  </si>
  <si>
    <t>ガソリン（ENEOS等）</t>
  </si>
  <si>
    <t>クレカ</t>
    <phoneticPr fontId="2"/>
  </si>
  <si>
    <t>養育費</t>
    <rPh sb="0" eb="3">
      <t>ヨウイクヒ</t>
    </rPh>
    <phoneticPr fontId="2"/>
  </si>
  <si>
    <t>現金</t>
    <rPh sb="0" eb="2">
      <t>ゲンキン</t>
    </rPh>
    <phoneticPr fontId="2"/>
  </si>
  <si>
    <t>iDeco</t>
    <phoneticPr fontId="2"/>
  </si>
  <si>
    <t>貯金</t>
    <rPh sb="0" eb="2">
      <t>チョキン</t>
    </rPh>
    <phoneticPr fontId="2"/>
  </si>
  <si>
    <t>支給合計</t>
  </si>
  <si>
    <t>控除合計</t>
  </si>
  <si>
    <t>差引支給</t>
  </si>
  <si>
    <t>基本給</t>
  </si>
  <si>
    <t>役員報酬</t>
  </si>
  <si>
    <t>営業手当</t>
  </si>
  <si>
    <t>職務手当</t>
  </si>
  <si>
    <t>役職手当</t>
  </si>
  <si>
    <t>本給</t>
  </si>
  <si>
    <t>2026年 3月</t>
  </si>
  <si>
    <t>雇用保険料</t>
  </si>
  <si>
    <t>健康保険料</t>
  </si>
  <si>
    <t>介護保険料</t>
  </si>
  <si>
    <t>厚年保険料</t>
  </si>
  <si>
    <t>所得税</t>
  </si>
  <si>
    <t>過不足税額</t>
  </si>
  <si>
    <t>持株積立</t>
  </si>
  <si>
    <t>財形貯蓄</t>
  </si>
  <si>
    <t>生命保険</t>
  </si>
  <si>
    <t>社宅料</t>
  </si>
  <si>
    <t>住民税</t>
  </si>
  <si>
    <t>その他控除</t>
  </si>
  <si>
    <t>通勤費</t>
  </si>
  <si>
    <t>2026年 2月</t>
  </si>
  <si>
    <t>保険給付</t>
  </si>
  <si>
    <t>2026年 1月</t>
  </si>
  <si>
    <t xml:space="preserve">2025年 12月 </t>
    <phoneticPr fontId="2"/>
  </si>
  <si>
    <t xml:space="preserve"> 12月 賞与</t>
    <phoneticPr fontId="2"/>
  </si>
  <si>
    <t>その他控除</t>
    <phoneticPr fontId="2"/>
  </si>
  <si>
    <t>定期不足分</t>
    <rPh sb="0" eb="5">
      <t>テイキフソクブン</t>
    </rPh>
    <phoneticPr fontId="2"/>
  </si>
  <si>
    <t>銀行</t>
    <rPh sb="0" eb="2">
      <t>ギンコウ</t>
    </rPh>
    <phoneticPr fontId="2"/>
  </si>
  <si>
    <t>家賃</t>
    <rPh sb="0" eb="2">
      <t>ヤチン</t>
    </rPh>
    <phoneticPr fontId="2"/>
  </si>
  <si>
    <t>32.85㎡</t>
    <phoneticPr fontId="2"/>
  </si>
  <si>
    <t>車庫</t>
    <rPh sb="0" eb="2">
      <t>シャコ</t>
    </rPh>
    <phoneticPr fontId="2"/>
  </si>
  <si>
    <t>合計</t>
    <rPh sb="0" eb="2">
      <t>ゴウケイ</t>
    </rPh>
    <phoneticPr fontId="2"/>
  </si>
  <si>
    <t>固定費合計</t>
    <rPh sb="0" eb="3">
      <t>コテイヒ</t>
    </rPh>
    <rPh sb="3" eb="5">
      <t>ゴウケイ</t>
    </rPh>
    <phoneticPr fontId="2"/>
  </si>
  <si>
    <t>1回平均</t>
    <phoneticPr fontId="2"/>
  </si>
  <si>
    <t>収入</t>
    <rPh sb="0" eb="2">
      <t>シュウニュウ</t>
    </rPh>
    <phoneticPr fontId="2"/>
  </si>
  <si>
    <t>控除率</t>
    <rPh sb="0" eb="3">
      <t>コウジョリツ</t>
    </rPh>
    <phoneticPr fontId="2"/>
  </si>
  <si>
    <t>給与</t>
    <rPh sb="0" eb="2">
      <t>キュウヨ</t>
    </rPh>
    <phoneticPr fontId="2"/>
  </si>
  <si>
    <t>賞与</t>
    <rPh sb="0" eb="2">
      <t>ショウヨ</t>
    </rPh>
    <phoneticPr fontId="2"/>
  </si>
  <si>
    <t>滞納の場合</t>
    <rPh sb="0" eb="2">
      <t>タイノウ</t>
    </rPh>
    <rPh sb="3" eb="5">
      <t>バアイ</t>
    </rPh>
    <phoneticPr fontId="2"/>
  </si>
  <si>
    <t>16か月分</t>
    <phoneticPr fontId="2"/>
  </si>
  <si>
    <t>滞納分</t>
    <rPh sb="0" eb="3">
      <t>タイノウブン</t>
    </rPh>
    <phoneticPr fontId="2"/>
  </si>
  <si>
    <t>～27/11</t>
    <phoneticPr fontId="2"/>
  </si>
  <si>
    <t>手取り</t>
    <rPh sb="0" eb="2">
      <t>テド</t>
    </rPh>
    <phoneticPr fontId="2"/>
  </si>
  <si>
    <t>ALL</t>
    <phoneticPr fontId="2"/>
  </si>
  <si>
    <t>単月</t>
    <rPh sb="0" eb="2">
      <t>タンゲツ</t>
    </rPh>
    <phoneticPr fontId="2"/>
  </si>
  <si>
    <t>返済期間</t>
    <rPh sb="0" eb="4">
      <t>ヘンサイキカン</t>
    </rPh>
    <phoneticPr fontId="2"/>
  </si>
  <si>
    <t>次回開始まで</t>
    <rPh sb="0" eb="2">
      <t>ジカイ</t>
    </rPh>
    <rPh sb="2" eb="4">
      <t>カイシ</t>
    </rPh>
    <phoneticPr fontId="2"/>
  </si>
  <si>
    <t>ALL÷期間</t>
    <rPh sb="4" eb="6">
      <t>キカン</t>
    </rPh>
    <phoneticPr fontId="2"/>
  </si>
  <si>
    <t>27/12～</t>
    <phoneticPr fontId="2"/>
  </si>
  <si>
    <t>28/9～</t>
    <phoneticPr fontId="2"/>
  </si>
  <si>
    <t>【美品】ネイバーフッド AKVS Tシャツ 黒 ブラック S 1 バックプリント</t>
    <rPh sb="1" eb="3">
      <t>ビヒン</t>
    </rPh>
    <rPh sb="22" eb="23">
      <t>クロ</t>
    </rPh>
    <phoneticPr fontId="2"/>
  </si>
  <si>
    <t>NEIGHBORHOOD × AKVS Tシャツ ブラック S
ご覧いただきありがとうございます。
NEIGHBORHOODとAKVSのコラボTシャツです。
カラーはブラック、表記サイズはS（1）です。
約着丈61cm / 約身幅47cm / 約肩幅43cm / 約袖丈21cmです。
平置きでの採寸になります。
※洗濯等により実寸が多少変化している場合があります。あくまで目安としてご参考ください。
【サイズ感】
NEIGHBORHOODは大きめの作りのため
Sサイズは非常に貴重です。
身長176cm・体重68kgの私が着ると
ジャストサイズ感です。
フロントに小さなイーグルロゴ、
バックに大きなイーグル＋AKVSのサークルロゴ。
NEIGHBORHOODらしい存在感のある1枚です。
【商品の状態】
※一般的な中古品の使用感にご理解いただける方でお願いします。
ペット・喫煙なし。
即購入OK・24時間以内発送します
─────────────────
【検索用】
ブランド：NEIGHBORHOOD / ネイバーフッド / NBHD
コラボ：AKVS / エーケーブイエス
カラー：ブラック / 黒 / Black
サイズ：S / Sサイズ / SIZE1
状態：中古 / 古着 / ユーズド
素材：コットン / 綿
カテゴリ：Tシャツ / 半袖 / カットソー / トップス
関連：ストリート / ミリタリー / イーグル / 裏原宿 / NBHD
価格：セール / 値下げ / 即購入 / 即決
サイズ···S</t>
    <phoneticPr fontId="2"/>
  </si>
  <si>
    <t>【希少】GDC ジーディーシー 11周年記念T ピンク 2007SS 日本製</t>
    <phoneticPr fontId="2"/>
  </si>
  <si>
    <t>GDC NATURAL CIRCLE ELEVENTH ANNIVERSARY Tシャツ ピンク 2007SS
ご覧いただきありがとうございます。
GDCの2007年春夏・11周年記念限定Tシャツです。
カラーはピンク（ライトピンク）です。
【サイズ感】
身長176cm・体重68kgの私が着ると
ちょうどいいサイズ感です。
ライトブルーのデニムやベージュのカーゴと合わせると
ピンクがアクセントになってスタイリッシュに決まります。
平置き
身丈 68cm
身幅 47cm
肩幅 47cm
袖丈 18cm
着丈 64cm
※洗濯等により実寸が多少変化している場合があります。あくまで目安としてご参考ください。
バックに「NATURAL CIRCLE ELEVENTH ANNIVERSARY GDC 2007.SS」のプリント。
Made in JPN、この年代にしか作れない素材の質感と希少な
アニバーサリーデザインが魅力の1枚でプリントに欠けや割れがない
超美品です。
【商品の状態】
※目立った汚れや破れはありませんが、使用感があります。
※一般的な中古品の使用感にご理解いただける方でお願いします。
ペット・喫煙なし。
即購入OK・24時間以内発送します
【検索用】
ブランド：GDC / ジーディーシー / Grand Canyon
商品名：アニバーサリーT / 記念Tシャツ / NATURAL CIRCLE / ELEVENTH ANNIVERSARY
カラー：ピンク / ライトピンク / Pink
状態：中古 / 古着 / ユーズド
発売時期：2007SS / 2007年春夏 / 2007年
素材：コットン / 綿 / 日本製 / Made in Japan
カテゴリ：Tシャツ / 半袖 / カットソー / トップス
関連：ストリート / 裏原宿 / ウィンダンシー / 熊谷隆志 / 限定
価格：セール / 値下げ / 即購入 / 即決
サイズ···M</t>
    <phoneticPr fontId="2"/>
  </si>
  <si>
    <t>Esenes × RPD Tabi Boots Snow Camo 26.5cm（US8）
─────────────────
ご覧いただきありがとうございます。
EsenesとRPDのコラボモデル、タビブーツです。
スノーレオパード柄のハラコレザーが目を引く
存在感抜群の1足で、流通数が少ない希少アイテムです。
サイズはUS8・26.5cm表記です。
試着のみの未使用品です。
─────────────────
【サイズ感】
足袋構造なので、Nike27.5cm着用の私でも問題なく履けるサイズ感でした。
ティンバーランドやレッドウィングが好きな方なら
絶対に気に入るはずの1足。
夏にブーツを合わせる上級者スタイルにも最適で、
ショーツやワイドパンツとの相性が抜群です。
足元で差をつけたい方にぜひ。
─────────────────
【商品の状態】
試着のみの未使用品です。
汚れ・破れ・臭いなどはありません。
ご購入前にサイズ感や状態など
お気軽にコメントください。
値下げ交渉もお気軽にどうぞ
ペット・喫煙なし。
即購入OK・24時間以内発送します
─────────────────
【検索用】
ブランド：Esenes / エセネス / RPD
商品名：Tabi Boots / タビブーツ / 足袋ブーツ / 足袋シューズ
カラー：スノーカモ / スノーレオパード / Snow Camo / ホワイト / ブラック
サイズ：26.5cm / US8 / 26.5
素材：ハラコ / ハラコレザー / レザー / ラバーソール
状態：未使用 / 試着のみ / 新品同様
カテゴリ：ブーツ / シューズ / スニーカー / タビ / 足袋
関連：コラボ / 希少 / 限定 / ストリート / モード / ユニセックス
価格：セール / 値下げ / 即購入 / 即決 / お値引き
サイズ···26.5cm</t>
    <phoneticPr fontId="2"/>
  </si>
  <si>
    <t>売価</t>
    <rPh sb="0" eb="2">
      <t>バイカ</t>
    </rPh>
    <phoneticPr fontId="2"/>
  </si>
  <si>
    <t>手残り</t>
    <rPh sb="0" eb="2">
      <t>テノコ</t>
    </rPh>
    <phoneticPr fontId="2"/>
  </si>
  <si>
    <t>【新品タグ付】ネイバーフッド ロンT 白 ホワイト M SVGアーカイブス</t>
    <phoneticPr fontId="2"/>
  </si>
  <si>
    <t>NEIGHBORHOOD SVG ARCHIVES L/S Tee ホワイト M
ご覧いただきありがとうございます。
NEIGHBORHOODのSVG ARCHIVESシリーズ、ロングスリーブTシャツです。
カラーはホワイト、サイズはMで
約着丈71cm / 約肩幅50cm / 約身幅56cm / 約袖丈61cmです。
※あくまで目安としてご参考ください。
【サイズ感】
身長176cm・体重68kgの私が着るとジャストサイズ。
フロントの小さなNEIGHBORHOODロゴと
バックの「SVG ARCHIVES」紋章グラフィックが
シンプルなコーデに品格を加えてくれる1枚。
新品タグ付きで保管していましたが
クローゼットの整理のためお譲りします。
【商品の状態】
新品・タグ付き・未使用です。
ペット・喫煙なし。
即購入OK・24時間以内発送します
【検索用】
ブランド：NEIGHBORHOOD / ネイバーフッド
商品名：SVG ARCHIVES / SVGアーカイブス / ロングスリーブ / ロンT / L/S Tee
カラー：ホワイト / 白 / White
サイズ：M / Mサイズ
状態：新品 / 未使用 / タグ付き
発売時期：2020年代 / ネイバーフッド EST.1994
素材：コットン / 綿
カテゴリ：Tシャツ / 長袖 / ロンT / カットソー / トップス
関連：ストリート / ミリタリー / 裏原宿 / NBHD
価格：セール / 値下げ / 即購入 / 即決
サイズ···M</t>
    <phoneticPr fontId="2"/>
  </si>
  <si>
    <t>【新品タグ付／即完系】adidas × AVAVAV フーディT ブラック L</t>
    <phoneticPr fontId="2"/>
  </si>
  <si>
    <t>adidas × AVAVAV フーデッドTシャツ ブラック L
ご覧いただきありがとうございます。
adidasとスウェーデン発ブランドAVAVAVのコラボTシャツです。
カラーはブラック、サイズはレディースのLです。
着丈69cm
身幅52cm
肩幅53cm
袖丈21cm
【サイズ感】
身長176cm・体重68kgの私が着てちょうどいいサイズ感。
ショーツやバギーデニムと合わせると
スポーティかつハイファッションな雰囲気に。
女性が着ても◎
※洗濯等により実寸が多少変化している場合があります。あくまで目安としてご参考ください。
ミラノファッションウィーク2024で発表されたコレクションで
フーディとTシャツを掛け合わせた独特のシルエットが特徴。
サイドの3ストライプとAVAVAVのスクリプトロゴが
さりげなく主張してくれます。
新品タグ付きで保管していましたが
クローゼットの整理のためお譲りします。
【商品の状態】
新品・タグ付き・未使用です。
ペット・喫煙なし。
即購入OK・24時間以内発送します
【検索用】
ブランド：adidas / アディダス / アディダスオリジナルス
コラボ：AVAVAV / アヴァヴァヴ / Beate Karlsson
カラー：ブラック / 黒 / Black
サイズ：L / Lサイズ
状態：新品 / 未使用 / タグ付き / 黒タグ
発売時期：2024AW / 2024年秋冬
素材：コットン / 綿
カテゴリ：Tシャツ / フーデッドT / トップス / ストリート
関連：コラボ / スポーツコア / ハイファッション / ミラノ
価格：セール / 値下げ / 即購入 / 即決</t>
    <phoneticPr fontId="2"/>
  </si>
  <si>
    <t>【日本製】エイプ コットン スタジャン 黒 ブラック M 春 長袖 NIGO</t>
    <phoneticPr fontId="2"/>
  </si>
  <si>
    <t>A BATHING APE コットンジャケット ブラック M ヴィンテージ
─────────────────
ご覧いただきありがとうございます。
A BATHING APEのコットンジャケットです。
カラーはブラック、サイズはMで
肩幅約45cm / 着丈約68cm / 身幅約54cm / 袖丈約62cmです。
身長176cm・体重68kgの私が着ると
ちょうどよいジャストサイズ感です。
タグからもわかるように日本製でNIGO氏在籍時の物です。
胸、バックの大型カレッジロゴ、それぞれ欠けや割れがない美品で
モノクロのため着回しが利き、シンプルなコーデに合わせるだけで
一気にストリート感が出るお気に入りの1着でした。
─────────────────
【商品の状態】
※目立つダメージや破れはありません。
※一般的な中古品の使用感にご理解いただける方でお願いします。
ペット・喫煙なし。
即購入OK・24時間以内発送します
─────────────────
【検索用】
ブランド：A BATHING APE / アベイシングエイプ / エイプ / BAPE / ベイプ
商品名：バーシティジャケット / スタジャン / カレッジジャケット / コットンジャケット
カラー：ブラック / 黒 / ホワイトライン / Black
サイズ：M / Mサイズ
状態：中古 / 古着 / ユーズド / ヴィンテージ / vintage
素材：コットン / 綿 / cotton
カテゴリ：ジャケット / アウター / スタジアムジャンパー
関連：ストリート / 原宿 / 裏原宿 / 90s / 2000s / レア / 希少 / 日本製 / Made in Japan / NIGO
価格：セール / 値下げ / 即購入 / 即決 / お値引き
サイズ···M</t>
    <phoneticPr fontId="2"/>
  </si>
  <si>
    <t>Sybilla シビラ グリーン フレアスカート</t>
    <phoneticPr fontId="2"/>
  </si>
  <si>
    <t>300円企画</t>
    <rPh sb="3" eb="6">
      <t>エンキカク</t>
    </rPh>
    <phoneticPr fontId="2"/>
  </si>
  <si>
    <t xml:space="preserve">クラウドナイン </t>
    <phoneticPr fontId="2"/>
  </si>
  <si>
    <t>シンプリシテェ ノースリーブワンピース M 38 無地 きれいめ 着丈100cm</t>
    <phoneticPr fontId="2"/>
  </si>
  <si>
    <t>【美品】 Yohji Yamamoto 17AW × ALEXANDROS Tシャツ 2</t>
    <phoneticPr fontId="2"/>
  </si>
  <si>
    <t>Yohji Yamamoto × ALEXANDROSの17AWコラボTシャツです。
色は黒、SIZE2（Mサイズ相当）で
肩幅45.5cm / 着丈65cm / 身幅50cm / 袖丈18cmです。
身長176cm/体重68kg/ウエスト81cmでピッタリ目、
ジャケットインで大活躍。
プリントに割れなどもない美品です。
詳細は写真にてご確認ください。
Alexandrosは  機動戦士ガンダム 閃光のハサウェイ や ウマ娘 シンデレラグレイ 北斗の拳 への楽曲でも大活躍だったことから多くのファンの注目を集めると思います！
日本製コットン素材で、着心地も申し分なし。現在では入手困難なアイテムです。
※一般的な中古品の使用感にご理解いただける方でお願いします。
ペット・喫煙なし。
即購入OK・24時間以内発送します
─────────────────
【検索用】
ブランド名：Yohji Yamamoto / ヨウジヤマモト / 山本耀司
コラボ：ALEXANDROS / アレキサンドロス / アレクサンドロス
カラー：ブラック / 黒 / ダークカラー
サイズ：SIZE2 / サイズ2 / Mサイズ相当
状態：中古 / 古着 / ユーズド
発売時期：2017AW / 17AW / 2017年秋冬
型番：HK-T96-089
素材：コットン / 綿 / 日本製 / Made in Japan
カテゴリ：Tシャツ / 半袖 / カットソー / トップス
関連：バンドT / コラボT / ミュージシャン / ロック / ストリート
価格：セール / 値下げ / お値引き / 即購入 / 即決</t>
    <phoneticPr fontId="2"/>
  </si>
  <si>
    <t>【デッドストック】箱・黒タグ付き未使用品です。
■ 品番：DR0502-600
■ カラー：Gym Red/Cement Grey/Black/White
■ サイズ：27.5cm（WMNS）
■ 状態：新品未使用（箱付き・タグ付き）
レッド×グレー×ブラックの大胆なスプリット配色が
一目でわかるインパクト抜群のAJ1 Low。
天然皮革+合成繊維のアッパーに
Airクッショニング搭載で履き心地も◎
メンズ26〜26.5cm相当です。
✅ 即購入OK
✅ 質問・追加写真はお気軽に
#AirJordan1
#ジョーダン1ロー
#Jordan1Low
#GymRed
#スプリット
#DR0502
#ナイキ
#AJ1</t>
    <phoneticPr fontId="2"/>
  </si>
  <si>
    <t>AJ1 Low SE Split Gym Red 27.5cm 箱付 未使用</t>
    <phoneticPr fontId="2"/>
  </si>
  <si>
    <t>【デッドストック】黒タグ付き未使用品です。
ナイキ エアジョーダン1 ミッド SE クラフト "ダークスモークグレー"
Nike Air Jordan 1 Mid SE Craft "Dark Smoke Grey"
■ 品番：FD8634-001
■ カラー：Dark Smoke Grey/Varsity Red
■ サイズ：28.5cm
■ 状態：新品未使用（箱付き・タグ付き）
2024年1月発売のAJ1 Mid SE Craft。
スエード・レザー・テキスタイルを組み合わせた
上質な同系色アッパーに、赤いステッチが刺さる
大人のためのジョーダン1。
バーシティレッドの糸がアンクルオーバーレイ、
ヒール、トゥの4列ステッチにさりげなく光る 
夜空のような一足です。
✅ 即購入OK
✅ 質問・追加写真はお気軽に
#AirJordan1
#エアジョーダン1
#Jordan1Mid
#DarkSmokeGrey
#ジョーダン
#ナイキ
#FD8634</t>
    <phoneticPr fontId="2"/>
  </si>
  <si>
    <t>ロペピクニック</t>
    <phoneticPr fontId="2"/>
  </si>
  <si>
    <t>アンタイトル 花柄 フレアスカート M 上品 通勤 美シルエット</t>
    <phoneticPr fontId="2"/>
  </si>
  <si>
    <t>NIKE　ユニフォーム　レブロン　レイカース　23　48</t>
    <phoneticPr fontId="2"/>
  </si>
  <si>
    <t>レイカーズ　レブロンのユニフォームです
素人保管ではありますのでご理解の程宜しくお願いします
発送は畳んで発送させて頂きます
何かあれば質問していただければと思います
宜しくお願いします
お値下げも宜しければご相談ください
- ブランド: NIKE
- チーム名: LAKERS
- サイズ: 48
- カラー: イエロー
- 番号: 23</t>
    <phoneticPr fontId="2"/>
  </si>
  <si>
    <t>シュプリーム 23SS 刺繡 Tシャツ ヴィクトリー 白　ホワイト　M</t>
    <phoneticPr fontId="2"/>
  </si>
  <si>
    <t>Supreme Victory S/S Top Tシャツ、Mサイズ
肩幅 49 身幅 61 着丈 79 袖丈 24
week1
2023.2.16(US/EU) / 2.18(JP)
- ブランド: Supreme
- サイズ: M
- カラー: ホワイト
- デザイン: プリントロゴ
ご覧いただきありがとうございます。</t>
    <phoneticPr fontId="2"/>
  </si>
  <si>
    <t>supreme シュプリーム ボックスロゴTシャツ カモ柄 迷彩 XXL</t>
    <phoneticPr fontId="2"/>
  </si>
  <si>
    <t>ご覧いただきありがとうございます。
2023年12月に発売された、Supremeを象徴するボックスロゴTシャツです。
1995年のアーカイブデザインを採用したカモ柄（迷彩）のロゴが特徴で、即完売した人気モデルです。
特にXXLサイズは生産数が非常に少なく、オーバーサイズで着用したい方や、体の大きい方に最適な大変希少なサイズです。
商品詳細
ブランド: Supreme（シュプリーム）
アイテム名: 23AW Box Logo Tee
カラー: White（ホワイト / 白）
サイズ: XXL（3L相当）
状態: 未使用、折シワあり
購入先: Supreme公式オンライン（または店舗名などをご記入ください）
実寸サイズ（平置き・約）
着丈: 83cm
身幅: 68cm
肩幅: 58cm
袖丈: 26cm
※公式サイト・取扱店の数値を参照。素材の特性上、多少の誤差はご了承ください。
発送について
水濡れ防止のビニールに入れ、丁寧に梱包して発送いたします。
24時間以内の発送を心がけております。
注意事項
すり替え防止のため、返品・交換は受け付けておりません。
即購入OKです！
お探しだった方はこの機会にぜひご検討ください。
#Supreme #シュプリーム #BoxLogo #ボックスロゴ #Tシャツ #迷彩 #カモ柄 #ストリートファッション #XXL #ビッグサイズ
カラー···ホワイト系
柄・デザイン···プリント（ロゴなど）</t>
    <phoneticPr fontId="2"/>
  </si>
  <si>
    <t>Supreme reflective small box logo tee L</t>
    <phoneticPr fontId="2"/>
  </si>
  <si>
    <t>即購入、値下げ可
人気のスモールボックスロゴ　即完
カラー···パープル
袖丈···半袖
柄・デザイン···無地
ネック···Uネック
2枚目以降の画像の通りです。
中古品にご理解ある方のみ。
サイズアウトしてしまったので出品いたします。
Size L
肩幅48
身幅56
着丈73
袖丈26
- ブランド: Supreme
- 色: 紫
- サイズ: L
ご覧いただきありがとうございます。</t>
    <phoneticPr fontId="2"/>
  </si>
  <si>
    <t>PORTER ポーター ブリーフケース 2WAY ビジネス バッグ バック 黒</t>
    <phoneticPr fontId="2"/>
  </si>
  <si>
    <t>ご覧いただきありがとうございます。
PORTERのブリーフケースです。
軽量かつ高強度・防水性を兼ね備えたオリジナル素材を使用した、機能性の高いビジネスバッグです。
A4サイズ収納可能で、内部は2層構造になっており書類や荷物の整理がしやすい仕様です。
また、スーツケースのハンドルに通せるキャリーオン対応のため、出張や移動時にも便利です。
【ブランド】
PORTER / ポーター
737-09204
【サイズ】
W:420mm / H:295mm / D:110mm
【重量】
約1Kg
【カラー】
ブラック
【仕様】
・A4サイズ収納可能
・内部2層構造
・キャリーオン対応
【状態】
写真にある内側の汚れはありますが外側はロゴの刺繍含め目立つ傷や汚れは見当たりません。
中古品のため細かな使用感はご了承ください。
※純正のショルダーストラップは欠損しておりますが、
　社外品のショルダーストラップをお付けいたしますので、2WAYでご使用いただけます。
コンパクトに梱包して発送いたします。</t>
    <phoneticPr fontId="2"/>
  </si>
  <si>
    <t>利益率</t>
    <rPh sb="0" eb="3">
      <t>リエキリツ</t>
    </rPh>
    <phoneticPr fontId="2"/>
  </si>
  <si>
    <t>2026年 4月</t>
    <phoneticPr fontId="2"/>
  </si>
  <si>
    <t>基本給</t>
    <phoneticPr fontId="2"/>
  </si>
  <si>
    <t>差分</t>
    <rPh sb="0" eb="2">
      <t>サブン</t>
    </rPh>
    <phoneticPr fontId="2"/>
  </si>
  <si>
    <t>保守期</t>
    <rPh sb="0" eb="3">
      <t>ホシュキ</t>
    </rPh>
    <phoneticPr fontId="2"/>
  </si>
  <si>
    <t>実施期</t>
    <rPh sb="0" eb="2">
      <t>ジッシ</t>
    </rPh>
    <rPh sb="2" eb="3">
      <t>キ</t>
    </rPh>
    <phoneticPr fontId="2"/>
  </si>
  <si>
    <t>通常期</t>
    <rPh sb="0" eb="3">
      <t>ツウジョウキ</t>
    </rPh>
    <phoneticPr fontId="2"/>
  </si>
  <si>
    <t>期間</t>
    <rPh sb="0" eb="2">
      <t>キカン</t>
    </rPh>
    <phoneticPr fontId="2"/>
  </si>
  <si>
    <t>金額</t>
    <rPh sb="0" eb="2">
      <t>キンガク</t>
    </rPh>
    <phoneticPr fontId="2"/>
  </si>
  <si>
    <t>AGE</t>
    <phoneticPr fontId="2"/>
  </si>
  <si>
    <t>ニチリョク</t>
    <phoneticPr fontId="2"/>
  </si>
  <si>
    <t>年次貯金総額</t>
    <rPh sb="0" eb="2">
      <t>ネンジ</t>
    </rPh>
    <rPh sb="2" eb="4">
      <t>チョキン</t>
    </rPh>
    <rPh sb="4" eb="6">
      <t>ソウガク</t>
    </rPh>
    <phoneticPr fontId="2"/>
  </si>
  <si>
    <t>Dn8</t>
    <phoneticPr fontId="2"/>
  </si>
  <si>
    <t>スイッチ</t>
    <phoneticPr fontId="2"/>
  </si>
  <si>
    <t>ピクミン</t>
    <phoneticPr fontId="2"/>
  </si>
  <si>
    <t>送料シミュレーター</t>
    <rPh sb="0" eb="2">
      <t>ソウリョウ</t>
    </rPh>
    <phoneticPr fontId="2"/>
  </si>
  <si>
    <t>NIKE 27cm VOMERO PLUS ナイキ ボメロプラス スペックル</t>
    <phoneticPr fontId="2"/>
  </si>
  <si>
    <t>躍動感あるスペックルを飛ばしたデザイン！
長距離を快適に走破したい、あるいは最初の一歩から最後の一歩までを優しくサポートするリカバリーシューズが欲しい。そんなランナーたちの願いに応えるべく、"NIKE(ナイキ)"から"VOMERO PLUS(ボメロ プラス)"が誕生した。この一足は、オリンピック選考会を目指す女性アスリート集団「プロジェクト・ドリームウィーバー」との緊密な協力の下で開発。彼女たちのトレーニングニーズと目標が、その設計に深く反映されている。
"VOMERO(ボメロ)"シリーズが持つクッショニング技術と、ランニングシューズの"INVINCIBLE 3(インヴィンシブル 3)"で得た知見を融合。ミッドソールには、ナイキで最も軽量かつ高反発な"ZOOMX(ズームエックス)"フォームを、ヒールの高さ45mmという厚底でフルレングス搭載した。約85%という驚異的なエネルギーリターンを誇り、長距離でも推進力のあるライド感を提供する。さらに、幅広のプラットフォームと強化されたロッカージオメトリーが、抜群のクッション性と安定性を両立させる。
最新作は、そのハイスペックな一足を、ワイルドでスピード感あふれるデザインへとアップデート。アッパー全体にオフホワイトとグレーのスペックル(飛沫)模様を飛ばし、奥行きのある表情を創出した。サイドを駆け抜けるスウッシュには、七色に輝くリフレクティブ素材を採用。夜間でもその存在を知らしめ、ランナーの足元に確かなインパクトを与える。
カラー　「ヴァストグレー/オフホワイト」
ミッドソールに施されたスペックル（散りばめられたドット）デザインが特徴的な一足です。優れたクッショニングと現代的なストリートスタイルを両立しています。
モデル：VOMERO PLUS SPECKLE（ボメロ プラス スペックル）
型番：IO4323-001
カラー：VAST GREY / OFF WHITE
サイズ：27cm
タグ付き／箱は蓋がないためおまけです。
サイズは箱のラベルの画像にて確認をお願いします。
運動会
ナイキ
ランシュー
ランニングシューズ
運動靴
箱根駅伝
ペガサス41
ペガサス38
ペガサスプラス
ペガサスプレミアム
ボメロ8
ボメロプラス
ボメロプレミアム
DN
DN8</t>
    <phoneticPr fontId="2"/>
  </si>
  <si>
    <t>Nike Daybreak Type Wolf Grey 27cm CT2556-001
─────────────────
ご覧いただきありがとうございます。
Nikeのデイブレイクタイプ ウルフグレーです。
品番CT2556-001、サイズは27cmです。
デッドストック・黒タグ付き・箱なしです。
ランニング用の超軽量スニーカーで、色味もグレーなので多少の汚れも気にせず使えると思います！
私服でもローテクならではのスポーツMIXで使い回せると期待してました。
【サイズ感】
Nike27.5cm着用の私（身長176cm・体重68kg）が
試し履きした感覚では少しタイト目で、
ランニングに使う予定だったので27.5cm通常着用の方にちょうどよいサイズ感です。
─────────────────
【商品の状態】
未使用・黒タグ付き・箱なし。
※目立った汚れや傷はありません。
※一般的な未使用品の状態にご理解いただける方でお願いします。
ペット・喫煙なし。
即購入OK・24時間以内発送します
─────────────────
【検索用】
ブランド：Nike / ナイキ / NIKE
商品名：Daybreak Type / デイブレイク タイプ / Dbreak Type
カラー：Wolf Grey / ウルフグレー / グレー / Iron Grey / White
サイズ：27cm / US9 / 27
品番：CT2556-001
状態：未使用 / デッドストック / 黒タグ / 新品同様
素材：レザー / メッシュ / スエード
カテゴリ：スニーカー / ローカット / ランニングシューズ
関連：ナイキ ヴィンテージ / ランシュー / ストリート / 90s インスパイア
価格：セール / 値下げ / 即購入 / 即決</t>
    <phoneticPr fontId="2"/>
  </si>
  <si>
    <t>【未使用】ナイキ デイブレイク グレー 27cm 黒タグ ランニング　箱無し</t>
    <phoneticPr fontId="2"/>
  </si>
  <si>
    <t>ナイキ ショックスライド 2 黒 新品 26 .5cm NIKE スニーカー</t>
    <phoneticPr fontId="2"/>
  </si>
  <si>
    <t>金属製のバネから着想を得て、"ブルース・キルゴア"のアイディアからスタートした革新的クッショニングの開発。
2000年になって"SHOX(ショックス)"という形で結実。着地の衝撃を推進力へと変換するその唯一無二のテクノロジーと、近未来的なビジュアルは、Y2K時代のスニーカーシーンを象徴する存在となった。
その"ショックス"と"ビジブルエア"を融合させた意欲作、"SHOX RIDE 2(ショックス ライド 2)"が新たなカラーを纏い、再びストリートに降臨する。ヒールに4連の"SHOX"コラム、そして前足部には"ビジブルエア"を搭載した、ナイキの実験精神を体現するハイブリッドモデル。
2022年には"SUPREME(シュプリーム)"とのコラボレーションでも採用され、Y2Kランニングシューズ再評価の中で、その存在感を一気に高めた。
最新カラーは、そのハイテクなシルエットを最大限に引き立てる、精悍なブラックを基調に構築。アッパーを構成する補強パーツには、光に反応して輝きを放つリフレクティブ素材を採用し、夜間の視認性を高めると共に、昼と夜で異なる表情を演出する。
ヒールで強烈な存在感を主張する"SHOX"コラムは、鮮烈なブルーで彩色。潔いホワイトのスウッシュが、全体の印象をシャープに引き締めている。
価格28,380円 (税込)。
サイズ26.5cm
当方、27.5cmですがギリギリ履けました。
27
27.5 の方なら大丈夫かと思います。
ブラック/ディープ ロイヤルブルー
新品、箱は蓋の部分がないためおまけです。
激シブなデザイン、めちゃくちゃかっこいいです！
ゴールデンサイズ
サイズは箱のラベルの画像にて確認をお願いします。</t>
    <phoneticPr fontId="2"/>
  </si>
  <si>
    <t>タイトル</t>
    <phoneticPr fontId="2"/>
  </si>
  <si>
    <t>Supreme 18SS Waist Bag シュプリーム バッグ　ポーチ　黒</t>
    <phoneticPr fontId="2"/>
  </si>
  <si>
    <t>【ブランド】Supreme
【商品名】18SS Waist Bag
【サイズ】フリーサイズ
【商品の状態】
目立った傷や汚れはありません。
中古品ですので細かな点はご了承ください。
【使用感・収納について】
ウエストベルトは長さ調節可能です。
長財布がすっぽり入るメインポケット。
手前のポケットにモバイルバッテリーや鍵などの小物を収納できます。
【返品について】
返品対応は基本しております。
そうならないためにも、気になる点は
事前にコメントにてお知らせください。
#Supreme #シュプリーム #ウエストバッグ #ボディバッグ #18SS #ブラック #黒 #ストリート #フェス #ライブ #美品</t>
    <phoneticPr fontId="2"/>
  </si>
  <si>
    <t>Supreme × Dickies Zip Hoodi L シュプリーム 未使用</t>
    <phoneticPr fontId="2"/>
  </si>
  <si>
    <t>【ブランド】Supreme × Dickies
【商品名】Quilted Zip Hooded Sweatshirt
【サイズ】L
【商品の状態】
未使用に近い状態です。
目立った傷や汚れはありません。
中古品ですので細かな点はご了承ください。
【サイズ感】
着丈：約70cm　身幅：約58cm　袖丈：約65cm
身長176cm・70kgの私が着るとゆったりめのシルエットです。
春・秋・冬の3シーズン対応できます。
【返品について】
返品対応は基本しております。
そうならないためにも、気になる点は
事前にコメントにてお知らせください。
#Supreme #シュプリーム #Dickies #ディッキーズ #コラボ #キルテッド #フーディ #ジップアップ #L #ストリート</t>
    <phoneticPr fontId="2"/>
  </si>
  <si>
    <t>PORTER NAKED ポーター ネイキッド 新品 未使用</t>
    <phoneticPr fontId="2"/>
  </si>
  <si>
    <t>【ブランド】PORTER（ポーター）/ 吉田カバン
【商品名】NAKED ショルダーバッグ
【定価】¥35,200（新品・未使用での出品です）
【商品の状態】
新品未使用です。
目立った傷や汚れはありません。
【使用感・収納について】
縦約30cm × 横約38cm × マチ約12cm
・A4書類は少し折れますが収納可能
・長財布・スマホ・鍵はもちろん収まります
・手前のポケットにモバイルバッテリーや
　イヤホンなど小物を分けて入れられます
・ショルダーストラップは長さ調節可能
【返品について】
返品対応は基本しております。
そうならないためにも、気になる点は
事前にコメントにてお知らせください。
#PORTER #ポーター #吉田カバン #NAKED #ネイキッド #ショルダーバッグ #新品 #未使用 #黒 #日本製 #通勤 #普段使い</t>
    <phoneticPr fontId="2"/>
  </si>
  <si>
    <t>VANS × Supreme SK8-HI PRO シプリーム 28cm</t>
    <phoneticPr fontId="2"/>
  </si>
  <si>
    <t>【ブランド】VANS × Supreme
【商品名】SK8-HI PRO
【サイズ】28cm（US10相当）
【商品の状態】
新品未使用・箱付きです。
目立った傷や汚れはありません。
【使用感・収納について】
VANSは細身の作りのため、普段28cmの方にジャストサイズです。
28.5cmの方はやや小さめに感じる場合があります。
【返品について】
返品対応は基本しております。
そうならないためにも、気になる点は
事前にコメントにてお知らせください。
#VANS #ヴァンズ #Supreme #シュプリーム #SK8HI #コラボ #28cm #US10 #スニーカー #新品 #未使用 #箱付き #限定</t>
    <phoneticPr fontId="2"/>
  </si>
  <si>
    <t>Supreme Handwriting Denim Sort 34 シュプリーム</t>
    <phoneticPr fontId="2"/>
  </si>
  <si>
    <t>【ブランド】Supreme
【商品名】Handwriting Double Knee Denim Short
【サイズ】34インチ
【商品の状態】
新品未使用です。
目立った傷や汚れはありません。
【サイズ感】
着丈：約30cm　ウエスト：約88cm
身長176cm・70kgの私でもベルト推奨です。
【返品について】
返品対応は基本しております。
そうならないためにも、気になる点は
事前にコメントにてお知らせください。
#Supreme #シュプリーム #Handwriting #ハンドライティング #デニムショーツ #ショートパンツ #34 #新品 #未使用 #ストリート</t>
    <phoneticPr fontId="2"/>
  </si>
  <si>
    <t>オーバーサイズ 黒シャツ 長袖 ビッグシルエット 羽織り 美品</t>
    <phoneticPr fontId="2"/>
  </si>
  <si>
    <t>デニムシャツ 長袖 シャンブレー ワークシャツ ボタンアップ</t>
    <phoneticPr fontId="2"/>
  </si>
  <si>
    <t>【ブランド】MOTA
【商品名】デニムシャツ 長袖
【サイズ】M
【商品の状態】
目立った傷や汚れはありません。
中古品ですので細かな点はご了承ください。
【サイズ感】
着丈：約65cm　身幅：約45cm　袖丈：約60cm
身長176cm・70kgの私が着るとぴったり〜やや細身です。
体格のある方は少しタイトに感じる場合があります。
【返品について】
返品対応は基本しております。
そうならないためにも、気になる点は
事前にコメントにてお知らせください。
#デニムシャツ #ワークシャツ #シャンブレー #長袖 #アメカジ #M #羽織り #古着 #メンズ #カジュアル</t>
    <phoneticPr fontId="2"/>
  </si>
  <si>
    <t>COUP DE CHANCE クードシャンス ドレープワンピース グレー 膝丈</t>
    <phoneticPr fontId="2"/>
  </si>
  <si>
    <t>Supreme × New Era Devil S Logo Beanie 新品</t>
    <phoneticPr fontId="2"/>
  </si>
  <si>
    <t>【ブランド】Supreme × New Era
【商品名】Devil S Logo Beanie
【サイズ】フリーサイズ
【商品の状態】
新品未使用・タグ付きです。
目立った傷や汚れはありません。
【使用感・収納について】
ニット帽のためフリーサイズです。
伸縮性があり、頭囲57〜59cm程度の方に適しています。
【返品について】
返品対応は基本しております。
そうならないためにも、気になる点は
事前にコメントにてお知らせください。
#Supreme #シュプリーム #NewEra #ニューエラ #ビーニー #ニット帽 #DevilSLogo #ネイビー #新品 #未使用 #コラボ</t>
    <phoneticPr fontId="2"/>
  </si>
  <si>
    <t>IOLANI イオラニ アロハシャツ 黒 花柄 ハワイ老舗 半袖</t>
    <phoneticPr fontId="2"/>
  </si>
  <si>
    <t>【ブランド】IOLANI（イオラニ）
【商品名】アロハシャツ 花柄
【サイズ】XL
【商品の状態】
目立った傷や汚れはありません。
中古品ですので細かな点はご了承ください。
【サイズ感】
着丈：約70cm　身幅：約50cm　袖丈：約22cm
身長176cm・70kgの私が着るとちょうどよい〜やや大きめです。
テロテロとした軽い素材・竹ボタン仕様です。
【返品について】
返品対応は基本しております。
そうならないためにも、気になる点は
事前にコメントにてお知らせください。
#IOLANI #イオラニ #アロハシャツ #ハワイアンシャツ #ハワイ #黒 #花柄 #XL #竹ボタン #老舗 #リゾート #夏コーデ</t>
    <phoneticPr fontId="2"/>
  </si>
  <si>
    <t>BAPE × mitchell&amp;ness NBA　L　エイプ　ニックス　コラボ</t>
    <phoneticPr fontId="2"/>
  </si>
  <si>
    <t>【ブランド】A BATHING APE（BAPE）
【商品名】A BATHING APE × mitchell&amp;ness NBA / KNICKS TEE / NEW YORKTシャツ / L / コットン
【サイズ】L
【商品の状態】
左裾に小さな穴がありますがそれ以外に目立った傷や汚れはありません。
中古品ですので細かな点はご了承ください。
【サイズ感】
着丈：約74cm　身幅：約54cm　袖丈：約23cm
身長176cm・70kgの私が着ても大きめの印象です。
ビックシルエットにおいてインパクト大です。
【返品対応について】
記載にミスや漏れがあった場合、返品対応しております。
ご不便をおかけしますがその際はご連絡ください。
返品用出品をしていただき次第即時対応いたします。
なお、そうならないためにも、気になる点は事前に
コメントにてお知らせください。
写真の追加、出品からの時間経過による変化など
何でもご相談ください。
--
ニューヨーク・ニックスにおける不動のエース、ジェイレン・ブランソン（Jalen Brunson）。
2025年12月の「NBAカップ」でチームを優勝に導き、大会MVP！
その他、ニックスの主要選手とMVP受賞歴は以下の通りです。
ジェイレン・ブランソン
カール＝アンソニー・タウンズ
ミカル・ブリッジズ
OG・アヌノビー
ウィリス・リード
#BAPE #エイプ #アベイシングエイプ #Tシャツ #ストリート #ホワイト #L #NEWYORK #93 #NIGO #コレクター #希少 #古着</t>
    <phoneticPr fontId="2"/>
  </si>
  <si>
    <t>Supreme × Jordan DrawstringBag シュプリーム</t>
    <phoneticPr fontId="2"/>
  </si>
  <si>
    <t>【ブランド】Supreme × Jordan Brand
【商品名】Jordan Drawstring Bag
【サイズ】フリーサイズ
【商品の状態】
新品未使用です。
目立った傷や汚れはありません。
【使用感・収納について】
巾着型の軽量バッグです。
スポーツ・普段使いどちらにも使いやすいサイズ感です。
【返品対応について】
記載にミスや漏れがあった場合、返品対応しております。
ご不便をおかけしますがその際はご連絡ください。
返品用出品をしていただき次第即時対応いたします。
なお、そうならないためにも、気になる点は事前に
コメントにてお知らせください。
写真の追加、出品中の使用や時間経過による変化など
気になることは購入前にコメントをお願いします。
#Supreme #シュプリーム #Jordan #ジョーダン #コラボ #巾着 #バッグ #新品 #未使用 #ストリート #Nike</t>
    <phoneticPr fontId="2"/>
  </si>
  <si>
    <t>WTAPS SKIVVIES V NECK T-SHIRTS</t>
    <phoneticPr fontId="2"/>
  </si>
  <si>
    <t>AVIREX アビレックス Tシャツ ブラック L 相当 ミリタリー 厚手</t>
    <phoneticPr fontId="2"/>
  </si>
  <si>
    <t>【ブランド】AVIREX（アヴィレックス）
【商品名】LIMITED カモフラージュTシャツ
【サイズ】2XL
【商品の状態】
目立った傷や汚れはありません。
中古品ですので細かな点はご了承ください。
【サイズ感】
着丈：約66cm　身幅：約48cm　袖丈：約20cm
身長176cm・70kgの私が着るとちょうどよいサイズ感です。
2XL表記ですが日本基準のLに近い感覚です。
【返品について】
返品対応は基本しております。
そうならないためにも、気になる点は
事前にコメントにてお知らせください。
#AVIREX #アヴィレックス #アビレックス #LIMITED #Tシャツ #ブラックカモ #迷彩 #2XL #ミリタリー #大きいサイズ</t>
    <phoneticPr fontId="2"/>
  </si>
  <si>
    <t>電脳</t>
    <rPh sb="0" eb="2">
      <t>デンノウ</t>
    </rPh>
    <phoneticPr fontId="2"/>
  </si>
  <si>
    <t>シュプ</t>
    <phoneticPr fontId="2"/>
  </si>
  <si>
    <t>それ以外</t>
    <rPh sb="2" eb="4">
      <t>イガイ</t>
    </rPh>
    <phoneticPr fontId="2"/>
  </si>
  <si>
    <t>曜日</t>
    <rPh sb="0" eb="2">
      <t>ヨウビ</t>
    </rPh>
    <phoneticPr fontId="2"/>
  </si>
  <si>
    <t>時間</t>
    <rPh sb="0" eb="2">
      <t>ジカン</t>
    </rPh>
    <phoneticPr fontId="2"/>
  </si>
  <si>
    <t>月</t>
    <rPh sb="0" eb="1">
      <t>ツキ</t>
    </rPh>
    <phoneticPr fontId="2"/>
  </si>
  <si>
    <t>日</t>
    <rPh sb="0" eb="1">
      <t>ヒ</t>
    </rPh>
    <phoneticPr fontId="2"/>
  </si>
  <si>
    <t>【新品未開封】シュプリーム ヘインズ バンダナ タグレスTシャツ 2枚パック 黒</t>
    <phoneticPr fontId="2"/>
  </si>
  <si>
    <t>Supremeロゴとバンダナ柄のHanes Tシャツ2枚セット。
- ブランド: Hanes
- サイズ: L/G
- デザイン: Supremeロゴ入り
- 数量: 2枚セット
- スタイル: バンダナ柄
--
【商品名】シュプリーム SUPREME ×Hanes ヘインズ 22AW Bandana Tagless Tees バンダナ タグレス 2パック 半袖 Tシャツ XL 黒 ブラック ブランド古着ベクトル 中古☆AA★250901
【ブランド名】シュプリーム SUPREME
【実寸サイズ】-　
【素材】コットン100％
【色】ブラック
【仕様】2枚セット
【状態】未開封です。</t>
    <phoneticPr fontId="2"/>
  </si>
  <si>
    <t>【美品】Supreme 18FWショルダーバッグ ブラック</t>
    <phoneticPr fontId="2"/>
  </si>
  <si>
    <t>suprume 18 FW のショルダーバッグです。
サイズ：約24cmx約17cmマチ 約5cm
キルティングデザインのブラックショルダーバッグ、調整可能なストラップ付きです。
リセールショップにて購入致しましたが、外部・内部ともに目立つ傷やよごれがなく状態が良いかと思います。
スライダー部分の塗装が少し落ちていますが、目立たず使用には問題ないかと思います。
- ブランド: Supreme
- カラー: ブラック
- スタイル: ショルダーバッグ
- デザイン: キルティングデザイン
- ストラップ: 調整可能なストラップ
【返品対応について】
記載にミスや漏れがあった場合、返品対応しております。
ご不便をおかけしますがその際はご連絡ください。
返品用出品をしていただき次第即時対応いたします。
なお、そうならないためにも、気になる点は事前に
コメントにてお知らせください。
写真の追加、出品中の使用や時間経過による変化など
気になることは購入前にコメントをお願いします。</t>
    <phoneticPr fontId="2"/>
  </si>
  <si>
    <t>【希少コラボ】RPD 足袋 ブーツ スノーカモ 26.5 ハラコ コラボ 未使用</t>
    <phoneticPr fontId="2"/>
  </si>
  <si>
    <t>商品名,初回ウォッチ,2回目ウォッチ,3回目ウォッチ</t>
  </si>
  <si>
    <t>RPD 足袋ブーツ,329,336,340</t>
  </si>
  <si>
    <t>NEIGHBORHOOD T,325,333,336</t>
  </si>
  <si>
    <t>Supreme Waist Bag,238,261,269</t>
  </si>
  <si>
    <t>HUF CAP,213,220,222</t>
  </si>
  <si>
    <t>Field General,151,158,162</t>
  </si>
  <si>
    <t>AVAVAV,200,200,204</t>
  </si>
  <si>
    <t>DrawstringBag,24,80,85</t>
  </si>
  <si>
    <t>UNTITLED スカート,62,91,94</t>
  </si>
  <si>
    <t>ワンピース,41,41,59</t>
  </si>
  <si>
    <t>Rirana 香水,58,59,100</t>
  </si>
  <si>
    <t>VANS SK8-HI,59,65,79</t>
  </si>
  <si>
    <t>Daybreak,43,43,74</t>
  </si>
  <si>
    <t>Supreme ヘインズT,46,46,78</t>
  </si>
  <si>
    <t>Supremeショルダー,57,57,63</t>
  </si>
  <si>
    <t>Dickies,58,62,67</t>
  </si>
  <si>
    <t>PORTER NAKED,35,39,42</t>
  </si>
  <si>
    <t>PORTER ブリーフ,89,89,89</t>
  </si>
  <si>
    <t>黒シャツ,31,33,45</t>
  </si>
  <si>
    <t>IOLANI,30,37,56</t>
  </si>
  <si>
    <t>Beanie,55,58,65</t>
  </si>
  <si>
    <t>デニムSort,28,55,64</t>
  </si>
  <si>
    <t>BAPE NBA,56,56,62</t>
  </si>
  <si>
    <t>COUP DE CHANCE,28,48,50</t>
  </si>
  <si>
    <t>火</t>
    <rPh sb="0" eb="1">
      <t>ヒ</t>
    </rPh>
    <phoneticPr fontId="2"/>
  </si>
  <si>
    <t>Supreme 18FW Waist Bag シュプリム バッグ ポーチ 黒</t>
  </si>
  <si>
    <t>【希少コラボ】RPD 足袋 ブーツ スノーカモ 26.5 ハラコ コラボ 未使用</t>
  </si>
  <si>
    <t>【美品】ネイバーフッド AKVS Tシャツ 黒 ブラック S 1 バックプリント</t>
  </si>
  <si>
    <t>HUF ハフ NEWERA 59FIFTY CAP ニューエラ</t>
  </si>
  <si>
    <t>Nike Field General PRM Snake 27.5cm 未使用</t>
  </si>
  <si>
    <t>【新品タグ付／即完系】adidas × AVAVAV フーディT ブラック L</t>
  </si>
  <si>
    <t>Supreme × Jordan DrawstringBag シュプリーム</t>
  </si>
  <si>
    <t>UNTITLED アンタイトル 花柄 フレアスカート M ウエスト33cm</t>
  </si>
  <si>
    <t>シンプリシテェ ノースリーブ ロングワンピース 白 地 着丈100cm M</t>
  </si>
  <si>
    <t>Rirana Parfume 香水サンプル 11種セット 未使用 未上陸 お試し</t>
  </si>
  <si>
    <t>VANS × Supreme SK8-HI PRO シプリーム 28cm</t>
  </si>
  <si>
    <t>Nike Daybreak Type CT2556-001 27cm 未使用</t>
  </si>
  <si>
    <t>Supreme ヘインズ バンダナ タグレスTシャツ 2枚パック 黒</t>
  </si>
  <si>
    <t>Supreme Victory S/S Top 刺繍Tシャツ ホワイト M</t>
  </si>
  <si>
    <t>BAPE × mitchell&amp;ness NBA エイプ ニックス コラボ</t>
  </si>
  <si>
    <t>COUP DE CHANCE クードシャンス ドレープワンピース グレー 膝丈</t>
  </si>
  <si>
    <t>IOLANI イオラニ アロハシャツ 黒 花柄 ハワイ老舗 半袖</t>
  </si>
  <si>
    <t>Supreme × Dickies Zip Hoodi L シュプリーム 未使用</t>
  </si>
  <si>
    <t>PORTER NAKED ポーター ネイキッド 新品 未使用</t>
  </si>
  <si>
    <t>Supreme × New Era Devil S Logo Beanie 新品</t>
  </si>
  <si>
    <t>Supreme Handwriting Denim Sort 34 シュプリーム</t>
  </si>
  <si>
    <t>いいね</t>
    <phoneticPr fontId="2"/>
  </si>
  <si>
    <t>黒シャツ 長袖 羽織り 体型カバー 着回し 洒落見え オーバーサイズ</t>
  </si>
  <si>
    <t>【ブランド】shanpin
【商品名】オーバーサイズ黒シャツ 8分袖
【サイズ】フリーサイズ
【商品の状態】
目立った傷や汚れはありません。
中古品ですので細かな点はご了承ください。
【サイズ感】
着丈：約76cm　身幅：約55cm　袖丈：約41cm（8分袖）
かなりゆったりしたオーバーサイズです。
女性合わせのボタン・フェイクポケット仕様。
【返品について】
返品対応は基本しております。
そうならないためにも、気になる点は
事前にコメントにてお知らせください。
#オーバーサイズシャツ #黒シャツ #8分袖 #ビッグシルエット #羽織り #ユニセックス #レディース  #古着 #シンプル</t>
    <phoneticPr fontId="2"/>
  </si>
  <si>
    <t>【ブランド】Couture de Chance　クードシャンス
【商品名】ドレープワンピース
【サイズ】38（M・バスト95cm相当）
【商品の状態】
目立った傷や汚れはありません。
中古品ですので細かな点はご了承ください。
【サイズ感】
着丈：約90cm　身幅：約39cm　袖丈：約44cm
巻いたようなドレープデザイン・裏地付き。
スッキリしたシルエットで通勤・デートどちらにも合います。
【返品について】
返品対応は基本しております。
そうならないためにも、気になる点は
事前にコメントにてお知らせください。
#CouturedeChance #クードシャンス #ワンピース #ドレープ #グレー #フレアスリーブ #膝丈 #裏地あり #きれいめ #通勤 #38</t>
    <phoneticPr fontId="2"/>
  </si>
  <si>
    <t>ご覧いただきありがとうございます。
UNTITLED（アンタイトル）の花柄フレアスカートです。
落ち着いた雰囲気の花柄で、上品な印象の一枚です。
通勤やきれいめコーデにも合わせやすいデザインです。
【ブランド】
UNTITLED / アンタイトル
【サイズ】
2（M相当）
【実寸】
ウエスト：約33cm
着丈：約61cm
裾幅：約65cm
【柄】
花柄
【状態】
目立つ傷や汚れは見当たりません。
中古品のため細かな点はご了承ください。
コンパクトに折りたたんで発送いたします。</t>
    <phoneticPr fontId="2"/>
  </si>
  <si>
    <t>ご覧いただきありがとうございます。
SIMPLICITÉ（シンプリシテェ）のノースリーブワンピースです。
シンプルな無地デザインで、すっきりとした大人っぽい印象の一枚です。
ゆとりのあるシルエットで、体型カバーにもおすすめです。
【ブランド】
SIMPLICITÉ / シンプリシテェ
【サイズ】
M相当
【実寸】
着丈：約100cm
ウエスト：約45cm
肩幅：約45cm
裾幅：約52cm
【柄】
無地
【状態】
目立つ傷や汚れは見当たりません。
中古品のため細かな点はご了承ください。
コンパクトに折りたたんで発送いたします。</t>
    <phoneticPr fontId="2"/>
  </si>
  <si>
    <t>水</t>
    <rPh sb="0" eb="1">
      <t>ミズ</t>
    </rPh>
    <phoneticPr fontId="2"/>
  </si>
  <si>
    <t>木</t>
    <rPh sb="0" eb="1">
      <t>キ</t>
    </rPh>
    <phoneticPr fontId="2"/>
  </si>
  <si>
    <t>Nudie Jeans ストライプ 長袖カットソー S</t>
  </si>
  <si>
    <t>PORTER ポーター ブリーフケース 2WAY ビジネス バッグ バック 黒</t>
  </si>
  <si>
    <t>月</t>
  </si>
  <si>
    <t>火</t>
  </si>
  <si>
    <t>水</t>
  </si>
  <si>
    <t>木</t>
  </si>
  <si>
    <t>金</t>
  </si>
  <si>
    <t>土</t>
  </si>
  <si>
    <t>日</t>
  </si>
  <si>
    <t>10時</t>
  </si>
  <si>
    <t>１４時</t>
  </si>
  <si>
    <t>19時</t>
  </si>
  <si>
    <t>7時</t>
  </si>
  <si>
    <t>14時</t>
  </si>
  <si>
    <t>花柄スカート</t>
  </si>
  <si>
    <t>Nudie</t>
  </si>
  <si>
    <t>黒シャツ</t>
  </si>
  <si>
    <t>白ワンピ</t>
  </si>
  <si>
    <t>クードシャンス</t>
  </si>
  <si>
    <t>ブーツ</t>
  </si>
  <si>
    <t>エイプ</t>
  </si>
  <si>
    <t>アディダス</t>
  </si>
  <si>
    <t>NIKE　ヘビ</t>
  </si>
  <si>
    <t>HUF</t>
  </si>
  <si>
    <t>ネイバー半袖</t>
  </si>
  <si>
    <t>短パン</t>
  </si>
  <si>
    <t>ジョーダン袋</t>
  </si>
  <si>
    <t>使ってる方</t>
  </si>
  <si>
    <t>バンダナ</t>
  </si>
  <si>
    <t>スニーカー</t>
  </si>
  <si>
    <t>Supreme 18SS Waist Bag シュプリム ウエストバッグ</t>
  </si>
  <si>
    <t>新しい方</t>
  </si>
  <si>
    <t>ポーターショルダー</t>
  </si>
  <si>
    <t>ビクトリー</t>
  </si>
  <si>
    <t>NIKE　ウルフ</t>
  </si>
  <si>
    <t>ディッキーズ</t>
  </si>
  <si>
    <t>ポーター ブリーフケース</t>
  </si>
  <si>
    <t>ニット帽</t>
  </si>
  <si>
    <t>アロハ</t>
  </si>
  <si>
    <t>香水</t>
  </si>
  <si>
    <t>合計</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</si>
</sst>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
  </numFmts>
  <fonts count="14" x14ac:knownFonts="1">
    <font>
      <sz val="11"/>
      <color theme="1"/>
      <name val="ＭＳ Ｐゴシック"/>
      <family val="2"/>
      <charset val="128"/>
      <scheme val="minor"/>
    </font>
    <font>
      <sz val="11"/>
      <color theme="1"/>
      <name val="ＭＳ Ｐゴシック"/>
      <family val="2"/>
      <charset val="128"/>
      <scheme val="minor"/>
    </font>
    <font>
      <sz val="6"/>
      <name val="ＭＳ Ｐゴシック"/>
      <family val="2"/>
      <charset val="128"/>
      <scheme val="minor"/>
    </font>
    <font>
      <sz val="11"/>
      <color theme="1"/>
      <name val="BIZ UDPゴシック"/>
      <family val="3"/>
      <charset val="128"/>
    </font>
    <font>
      <sz val="11"/>
      <color theme="0"/>
      <name val="BIZ UDPゴシック"/>
      <family val="3"/>
      <charset val="128"/>
    </font>
    <font>
      <u/>
      <sz val="11"/>
      <color theme="10"/>
      <name val="ＭＳ Ｐゴシック"/>
      <family val="2"/>
      <charset val="128"/>
      <scheme val="minor"/>
    </font>
    <font>
      <b/>
      <sz val="16"/>
      <color theme="1"/>
      <name val="ＭＳ Ｐゴシック"/>
      <family val="3"/>
      <charset val="128"/>
      <scheme val="minor"/>
    </font>
    <font>
      <b/>
      <sz val="14"/>
      <color theme="1"/>
      <name val="ＭＳ Ｐゴシック"/>
      <family val="3"/>
      <charset val="128"/>
      <scheme val="minor"/>
    </font>
    <font>
      <sz val="28"/>
      <color theme="1"/>
      <name val="ＭＳ Ｐゴシック"/>
      <family val="2"/>
      <charset val="128"/>
      <scheme val="minor"/>
    </font>
    <font>
      <sz val="9.35"/>
      <color rgb="FF01334D"/>
      <name val="メイリオ"/>
      <family val="3"/>
      <charset val="128"/>
    </font>
    <font>
      <sz val="9"/>
      <color rgb="FF01334D"/>
      <name val="メイリオ"/>
      <family val="3"/>
      <charset val="128"/>
    </font>
    <font>
      <b/>
      <sz val="11"/>
      <color rgb="FF10334D"/>
      <name val="メイリオ"/>
      <family val="3"/>
      <charset val="128"/>
    </font>
    <font>
      <sz val="11"/>
      <color rgb="FF0070C0"/>
      <name val="BIZ UDPゴシック"/>
      <family val="3"/>
      <charset val="128"/>
    </font>
    <font>
      <sz val="10"/>
      <color theme="1"/>
      <name val="BIZ UDPゴシック"/>
      <family val="3"/>
      <charset val="128"/>
    </font>
  </fonts>
  <fills count="33">
    <fill>
      <patternFill patternType="none"/>
    </fill>
    <fill>
      <patternFill patternType="gray125"/>
    </fill>
    <fill>
      <patternFill patternType="solid">
        <fgColor theme="0" tint="-0.14999847407452621"/>
        <bgColor indexed="64"/>
      </patternFill>
    </fill>
    <fill>
      <patternFill patternType="solid">
        <fgColor theme="8" tint="0.79998168889431442"/>
        <bgColor indexed="64"/>
      </patternFill>
    </fill>
    <fill>
      <patternFill patternType="solid">
        <fgColor rgb="FFFFCDCD"/>
        <bgColor indexed="64"/>
      </patternFill>
    </fill>
    <fill>
      <patternFill patternType="solid">
        <fgColor theme="1" tint="0.34998626667073579"/>
        <bgColor indexed="64"/>
      </patternFill>
    </fill>
    <fill>
      <patternFill patternType="solid">
        <fgColor rgb="FFFF4747"/>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rgb="FF00B050"/>
        <bgColor indexed="64"/>
      </patternFill>
    </fill>
    <fill>
      <patternFill patternType="solid">
        <fgColor rgb="FFC198E0"/>
        <bgColor indexed="64"/>
      </patternFill>
    </fill>
    <fill>
      <patternFill patternType="solid">
        <fgColor rgb="FFFF6D6D"/>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theme="1" tint="0.499984740745262"/>
        <bgColor indexed="64"/>
      </patternFill>
    </fill>
    <fill>
      <patternFill patternType="solid">
        <fgColor rgb="FFFFFFFF"/>
        <bgColor indexed="64"/>
      </patternFill>
    </fill>
    <fill>
      <patternFill patternType="solid">
        <fgColor rgb="FFEEF9FB"/>
        <bgColor indexed="64"/>
      </patternFill>
    </fill>
    <fill>
      <patternFill patternType="solid">
        <fgColor rgb="FF0070C0"/>
        <bgColor indexed="64"/>
      </patternFill>
    </fill>
    <fill>
      <patternFill patternType="solid">
        <fgColor rgb="FFB9EDFF"/>
        <bgColor indexed="64"/>
      </patternFill>
    </fill>
    <fill>
      <patternFill patternType="solid">
        <fgColor rgb="FFDAEFC3"/>
        <bgColor indexed="64"/>
      </patternFill>
    </fill>
    <fill>
      <patternFill patternType="solid">
        <fgColor theme="9" tint="-0.249977111117893"/>
        <bgColor indexed="64"/>
      </patternFill>
    </fill>
    <fill>
      <patternFill patternType="solid">
        <fgColor rgb="FFFFE89F"/>
        <bgColor indexed="64"/>
      </patternFill>
    </fill>
    <fill>
      <patternFill patternType="solid">
        <fgColor rgb="FFFEFAA0"/>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rgb="FFAAD090"/>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0" tint="-0.34998626667073579"/>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bottom style="thin">
        <color indexed="64"/>
      </bottom>
      <diagonal/>
    </border>
    <border>
      <left style="thin">
        <color theme="1" tint="0.499984740745262"/>
      </left>
      <right style="thin">
        <color theme="1" tint="0.499984740745262"/>
      </right>
      <top style="thin">
        <color theme="1" tint="0.499984740745262"/>
      </top>
      <bottom/>
      <diagonal/>
    </border>
    <border>
      <left/>
      <right/>
      <top/>
      <bottom style="thin">
        <color theme="1" tint="0.499984740745262"/>
      </bottom>
      <diagonal/>
    </border>
    <border>
      <left style="thin">
        <color indexed="64"/>
      </left>
      <right style="thin">
        <color indexed="64"/>
      </right>
      <top style="thin">
        <color indexed="64"/>
      </top>
      <bottom/>
      <diagonal/>
    </border>
    <border>
      <left/>
      <right style="thin">
        <color theme="1" tint="0.499984740745262"/>
      </right>
      <top style="thin">
        <color theme="1" tint="0.499984740745262"/>
      </top>
      <bottom/>
      <diagonal/>
    </border>
  </borders>
  <cellStyleXfs count="4">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0" fontId="5" fillId="0" borderId="0" applyNumberFormat="0" applyFill="0" applyBorder="0" applyAlignment="0" applyProtection="0">
      <alignment vertical="center"/>
    </xf>
  </cellStyleXfs>
  <cellXfs count="152">
    <xf numFmtId="0" fontId="0" fillId="0" borderId="0" xfId="0">
      <alignment vertical="center"/>
    </xf>
    <xf numFmtId="38" fontId="3" fillId="0" borderId="1" xfId="1" applyFont="1" applyBorder="1">
      <alignment vertical="center"/>
    </xf>
    <xf numFmtId="38" fontId="3" fillId="0" borderId="0" xfId="1" applyFont="1">
      <alignment vertical="center"/>
    </xf>
    <xf numFmtId="9" fontId="3" fillId="0" borderId="1" xfId="2" applyFont="1" applyBorder="1">
      <alignment vertical="center"/>
    </xf>
    <xf numFmtId="0" fontId="0" fillId="0" borderId="2" xfId="0" applyBorder="1">
      <alignment vertical="center"/>
    </xf>
    <xf numFmtId="0" fontId="5" fillId="0" borderId="2" xfId="3" applyBorder="1">
      <alignment vertical="center"/>
    </xf>
    <xf numFmtId="0" fontId="0" fillId="2" borderId="2" xfId="0" applyFill="1" applyBorder="1">
      <alignment vertical="center"/>
    </xf>
    <xf numFmtId="0" fontId="0" fillId="11" borderId="2" xfId="0" applyFill="1" applyBorder="1" applyAlignment="1">
      <alignment horizontal="center" vertical="center"/>
    </xf>
    <xf numFmtId="0" fontId="8" fillId="0" borderId="0" xfId="0" applyFont="1">
      <alignment vertical="center"/>
    </xf>
    <xf numFmtId="0" fontId="0" fillId="13" borderId="2" xfId="0" applyFill="1" applyBorder="1">
      <alignment vertical="center"/>
    </xf>
    <xf numFmtId="0" fontId="0" fillId="5" borderId="2" xfId="0" applyFill="1" applyBorder="1">
      <alignment vertical="center"/>
    </xf>
    <xf numFmtId="176" fontId="0" fillId="4" borderId="2" xfId="2" applyNumberFormat="1" applyFont="1" applyFill="1" applyBorder="1">
      <alignment vertical="center"/>
    </xf>
    <xf numFmtId="1" fontId="0" fillId="4" borderId="2" xfId="0" applyNumberFormat="1" applyFill="1" applyBorder="1">
      <alignment vertical="center"/>
    </xf>
    <xf numFmtId="0" fontId="0" fillId="14" borderId="2" xfId="0" applyFill="1" applyBorder="1" applyAlignment="1">
      <alignment horizontal="center" vertical="center"/>
    </xf>
    <xf numFmtId="0" fontId="0" fillId="15" borderId="2" xfId="0" applyFill="1" applyBorder="1" applyAlignment="1">
      <alignment horizontal="center" vertical="center"/>
    </xf>
    <xf numFmtId="0" fontId="0" fillId="13" borderId="2" xfId="0" applyFill="1" applyBorder="1" applyAlignment="1">
      <alignment horizontal="center" vertical="center"/>
    </xf>
    <xf numFmtId="0" fontId="0" fillId="7" borderId="2" xfId="0" applyFill="1" applyBorder="1" applyAlignment="1">
      <alignment horizontal="center" vertical="center"/>
    </xf>
    <xf numFmtId="1" fontId="0" fillId="9" borderId="2" xfId="0" applyNumberFormat="1" applyFill="1" applyBorder="1">
      <alignment vertical="center"/>
    </xf>
    <xf numFmtId="0" fontId="0" fillId="9" borderId="2" xfId="0" applyFill="1" applyBorder="1">
      <alignment vertical="center"/>
    </xf>
    <xf numFmtId="0" fontId="0" fillId="0" borderId="3" xfId="0" applyBorder="1">
      <alignment vertical="center"/>
    </xf>
    <xf numFmtId="0" fontId="0" fillId="2" borderId="3" xfId="0" applyFill="1" applyBorder="1">
      <alignment vertical="center"/>
    </xf>
    <xf numFmtId="38" fontId="0" fillId="0" borderId="3" xfId="1" applyFont="1" applyBorder="1">
      <alignment vertical="center"/>
    </xf>
    <xf numFmtId="38" fontId="0" fillId="4" borderId="3" xfId="1" applyFont="1" applyFill="1" applyBorder="1">
      <alignment vertical="center"/>
    </xf>
    <xf numFmtId="38" fontId="0" fillId="0" borderId="3" xfId="0" applyNumberFormat="1" applyBorder="1">
      <alignment vertical="center"/>
    </xf>
    <xf numFmtId="0" fontId="0" fillId="9" borderId="3" xfId="0" applyFill="1" applyBorder="1">
      <alignment vertical="center"/>
    </xf>
    <xf numFmtId="0" fontId="5" fillId="0" borderId="3" xfId="3" applyBorder="1">
      <alignment vertical="center"/>
    </xf>
    <xf numFmtId="1" fontId="0" fillId="4" borderId="3" xfId="0" applyNumberFormat="1" applyFill="1" applyBorder="1">
      <alignment vertical="center"/>
    </xf>
    <xf numFmtId="176" fontId="0" fillId="4" borderId="3" xfId="2" applyNumberFormat="1" applyFont="1" applyFill="1" applyBorder="1">
      <alignment vertical="center"/>
    </xf>
    <xf numFmtId="0" fontId="0" fillId="0" borderId="3" xfId="0" applyFill="1" applyBorder="1">
      <alignment vertical="center"/>
    </xf>
    <xf numFmtId="0" fontId="0" fillId="13" borderId="3" xfId="0" applyFill="1" applyBorder="1">
      <alignment vertical="center"/>
    </xf>
    <xf numFmtId="3" fontId="0" fillId="0" borderId="0" xfId="0" applyNumberFormat="1">
      <alignment vertical="center"/>
    </xf>
    <xf numFmtId="0" fontId="9" fillId="19" borderId="7" xfId="0" applyFont="1" applyFill="1" applyBorder="1" applyAlignment="1">
      <alignment horizontal="left" vertical="center" wrapText="1"/>
    </xf>
    <xf numFmtId="3" fontId="10" fillId="18" borderId="7" xfId="0" applyNumberFormat="1" applyFont="1" applyFill="1" applyBorder="1" applyAlignment="1">
      <alignment horizontal="right" vertical="center" wrapText="1"/>
    </xf>
    <xf numFmtId="0" fontId="10" fillId="18" borderId="7" xfId="0" applyFont="1" applyFill="1" applyBorder="1" applyAlignment="1">
      <alignment horizontal="right" vertical="center" wrapText="1"/>
    </xf>
    <xf numFmtId="0" fontId="11" fillId="0" borderId="0" xfId="0" applyFont="1">
      <alignment vertical="center"/>
    </xf>
    <xf numFmtId="0" fontId="3" fillId="0" borderId="0" xfId="0" applyFont="1">
      <alignment vertical="center"/>
    </xf>
    <xf numFmtId="0" fontId="3" fillId="0" borderId="1" xfId="0" applyFont="1" applyBorder="1">
      <alignment vertical="center"/>
    </xf>
    <xf numFmtId="0" fontId="4" fillId="20" borderId="1" xfId="0" applyFont="1" applyFill="1" applyBorder="1" applyAlignment="1">
      <alignment horizontal="center" vertical="center"/>
    </xf>
    <xf numFmtId="0" fontId="3" fillId="21" borderId="1" xfId="0" applyFont="1" applyFill="1" applyBorder="1">
      <alignment vertical="center"/>
    </xf>
    <xf numFmtId="0" fontId="12" fillId="0" borderId="0" xfId="0" applyFont="1">
      <alignment vertical="center"/>
    </xf>
    <xf numFmtId="3" fontId="3" fillId="0" borderId="1" xfId="0" applyNumberFormat="1" applyFont="1" applyBorder="1">
      <alignment vertical="center"/>
    </xf>
    <xf numFmtId="0" fontId="3" fillId="4" borderId="1" xfId="0" applyFont="1" applyFill="1" applyBorder="1">
      <alignment vertical="center"/>
    </xf>
    <xf numFmtId="0" fontId="4" fillId="11" borderId="1" xfId="0" applyFont="1" applyFill="1" applyBorder="1" applyAlignment="1">
      <alignment horizontal="center" vertical="center"/>
    </xf>
    <xf numFmtId="0" fontId="3" fillId="22" borderId="1" xfId="0" applyFont="1" applyFill="1" applyBorder="1">
      <alignment vertical="center"/>
    </xf>
    <xf numFmtId="0" fontId="4" fillId="5" borderId="1" xfId="0" applyFont="1" applyFill="1" applyBorder="1" applyAlignment="1">
      <alignment horizontal="center" vertical="center"/>
    </xf>
    <xf numFmtId="0" fontId="3" fillId="2" borderId="1" xfId="0" applyFont="1" applyFill="1" applyBorder="1">
      <alignment vertical="center"/>
    </xf>
    <xf numFmtId="3" fontId="3" fillId="4" borderId="1" xfId="0" applyNumberFormat="1" applyFont="1" applyFill="1" applyBorder="1">
      <alignment vertical="center"/>
    </xf>
    <xf numFmtId="0" fontId="4" fillId="6" borderId="1" xfId="0" applyFont="1" applyFill="1" applyBorder="1" applyAlignment="1">
      <alignment horizontal="center" vertical="center"/>
    </xf>
    <xf numFmtId="3" fontId="4" fillId="6" borderId="1" xfId="0" applyNumberFormat="1" applyFont="1" applyFill="1" applyBorder="1">
      <alignment vertical="center"/>
    </xf>
    <xf numFmtId="0" fontId="4" fillId="23" borderId="1" xfId="0" applyFont="1" applyFill="1" applyBorder="1" applyAlignment="1">
      <alignment horizontal="center" vertical="center"/>
    </xf>
    <xf numFmtId="3" fontId="3" fillId="24" borderId="1" xfId="0" applyNumberFormat="1" applyFont="1" applyFill="1" applyBorder="1">
      <alignment vertical="center"/>
    </xf>
    <xf numFmtId="38" fontId="3" fillId="0" borderId="1" xfId="0" applyNumberFormat="1" applyFont="1" applyBorder="1">
      <alignment vertical="center"/>
    </xf>
    <xf numFmtId="38" fontId="3" fillId="0" borderId="8" xfId="1" applyFont="1" applyBorder="1">
      <alignment vertical="center"/>
    </xf>
    <xf numFmtId="0" fontId="3" fillId="0" borderId="1" xfId="0" applyFont="1" applyBorder="1" applyAlignment="1">
      <alignment horizontal="center" vertical="center"/>
    </xf>
    <xf numFmtId="0" fontId="3" fillId="0" borderId="8" xfId="0" applyFont="1" applyBorder="1">
      <alignment vertical="center"/>
    </xf>
    <xf numFmtId="0" fontId="0" fillId="11" borderId="2" xfId="0" applyFill="1" applyBorder="1" applyAlignment="1">
      <alignment horizontal="center" vertical="center"/>
    </xf>
    <xf numFmtId="0" fontId="0" fillId="7" borderId="3" xfId="0" applyFill="1" applyBorder="1" applyAlignment="1">
      <alignment horizontal="center" vertical="center"/>
    </xf>
    <xf numFmtId="0" fontId="0" fillId="0" borderId="3" xfId="0" applyBorder="1" applyAlignment="1">
      <alignment horizontal="center" vertical="center"/>
    </xf>
    <xf numFmtId="0" fontId="0" fillId="4" borderId="3" xfId="0" applyFill="1" applyBorder="1" applyAlignment="1">
      <alignment horizontal="center" vertical="center"/>
    </xf>
    <xf numFmtId="0" fontId="0" fillId="17" borderId="2" xfId="0" applyFill="1" applyBorder="1">
      <alignment vertical="center"/>
    </xf>
    <xf numFmtId="0" fontId="5" fillId="17" borderId="2" xfId="3" applyFill="1" applyBorder="1">
      <alignment vertical="center"/>
    </xf>
    <xf numFmtId="0" fontId="0" fillId="12" borderId="2" xfId="0" applyFill="1" applyBorder="1">
      <alignment vertical="center"/>
    </xf>
    <xf numFmtId="176" fontId="0" fillId="0" borderId="3" xfId="2" applyNumberFormat="1" applyFont="1" applyBorder="1">
      <alignment vertical="center"/>
    </xf>
    <xf numFmtId="0" fontId="0" fillId="4" borderId="0" xfId="0" applyFill="1" applyAlignment="1">
      <alignment horizontal="center" vertical="center"/>
    </xf>
    <xf numFmtId="0" fontId="3" fillId="0" borderId="0" xfId="0" applyFont="1" applyAlignment="1">
      <alignment horizontal="center" vertical="center"/>
    </xf>
    <xf numFmtId="0" fontId="4" fillId="5" borderId="3" xfId="0" applyFont="1" applyFill="1" applyBorder="1" applyAlignment="1">
      <alignment horizontal="center" vertical="center"/>
    </xf>
    <xf numFmtId="0" fontId="3" fillId="0" borderId="3" xfId="0" applyFont="1" applyBorder="1">
      <alignment vertical="center"/>
    </xf>
    <xf numFmtId="38" fontId="4" fillId="5" borderId="3" xfId="1" applyFont="1" applyFill="1" applyBorder="1" applyAlignment="1">
      <alignment horizontal="center" vertical="center"/>
    </xf>
    <xf numFmtId="38" fontId="3" fillId="0" borderId="3" xfId="0" applyNumberFormat="1" applyFont="1" applyBorder="1">
      <alignment vertical="center"/>
    </xf>
    <xf numFmtId="0" fontId="3" fillId="0" borderId="3" xfId="0" applyFont="1" applyBorder="1" applyAlignment="1">
      <alignment horizontal="center" vertical="center"/>
    </xf>
    <xf numFmtId="38" fontId="3" fillId="0" borderId="3" xfId="1" applyFont="1" applyBorder="1" applyAlignment="1">
      <alignment horizontal="center" vertical="center"/>
    </xf>
    <xf numFmtId="0" fontId="3" fillId="26" borderId="3" xfId="0" applyFont="1" applyFill="1" applyBorder="1" applyAlignment="1">
      <alignment horizontal="center" vertical="center"/>
    </xf>
    <xf numFmtId="38" fontId="3" fillId="26" borderId="3" xfId="1" applyFont="1" applyFill="1" applyBorder="1" applyAlignment="1">
      <alignment horizontal="center" vertical="center"/>
    </xf>
    <xf numFmtId="0" fontId="3" fillId="27" borderId="3" xfId="0" applyFont="1" applyFill="1" applyBorder="1" applyAlignment="1">
      <alignment horizontal="center" vertical="center"/>
    </xf>
    <xf numFmtId="0" fontId="3" fillId="28" borderId="3" xfId="0" applyFont="1" applyFill="1" applyBorder="1" applyAlignment="1">
      <alignment horizontal="center" vertical="center"/>
    </xf>
    <xf numFmtId="9" fontId="3" fillId="0" borderId="1" xfId="2" applyFont="1" applyBorder="1" applyAlignment="1">
      <alignment horizontal="center" vertical="center"/>
    </xf>
    <xf numFmtId="38" fontId="3" fillId="0" borderId="3" xfId="0" applyNumberFormat="1" applyFont="1" applyBorder="1" applyAlignment="1">
      <alignment horizontal="center" vertical="center"/>
    </xf>
    <xf numFmtId="38" fontId="3" fillId="29" borderId="9" xfId="1" applyFont="1" applyFill="1" applyBorder="1" applyAlignment="1">
      <alignment horizontal="center" vertical="center"/>
    </xf>
    <xf numFmtId="0" fontId="3" fillId="3" borderId="3" xfId="0" applyFont="1" applyFill="1" applyBorder="1" applyAlignment="1">
      <alignment horizontal="center" vertical="center"/>
    </xf>
    <xf numFmtId="38" fontId="3" fillId="30" borderId="9" xfId="1" applyFont="1" applyFill="1" applyBorder="1" applyAlignment="1">
      <alignment horizontal="center" vertical="center"/>
    </xf>
    <xf numFmtId="0" fontId="3" fillId="28" borderId="9" xfId="0" applyFont="1" applyFill="1" applyBorder="1" applyAlignment="1">
      <alignment horizontal="center" vertical="center"/>
    </xf>
    <xf numFmtId="0" fontId="4" fillId="17" borderId="3" xfId="0" applyFont="1" applyFill="1" applyBorder="1" applyAlignment="1">
      <alignment horizontal="center" vertical="center"/>
    </xf>
    <xf numFmtId="0" fontId="3" fillId="22" borderId="3" xfId="0" applyFont="1" applyFill="1" applyBorder="1" applyAlignment="1">
      <alignment horizontal="center" vertical="center"/>
    </xf>
    <xf numFmtId="38" fontId="3" fillId="3" borderId="3" xfId="1" applyFont="1" applyFill="1" applyBorder="1">
      <alignment vertical="center"/>
    </xf>
    <xf numFmtId="38" fontId="3" fillId="27" borderId="3" xfId="1" applyFont="1" applyFill="1" applyBorder="1">
      <alignment vertical="center"/>
    </xf>
    <xf numFmtId="38" fontId="3" fillId="3" borderId="9" xfId="1" applyFont="1" applyFill="1" applyBorder="1">
      <alignment vertical="center"/>
    </xf>
    <xf numFmtId="38" fontId="3" fillId="27" borderId="9" xfId="1" applyFont="1" applyFill="1" applyBorder="1">
      <alignment vertical="center"/>
    </xf>
    <xf numFmtId="0" fontId="0" fillId="32" borderId="2" xfId="0" applyFill="1" applyBorder="1">
      <alignment vertical="center"/>
    </xf>
    <xf numFmtId="1" fontId="0" fillId="32" borderId="2" xfId="0" applyNumberFormat="1" applyFill="1" applyBorder="1">
      <alignment vertical="center"/>
    </xf>
    <xf numFmtId="176" fontId="0" fillId="32" borderId="2" xfId="2" applyNumberFormat="1" applyFont="1" applyFill="1" applyBorder="1">
      <alignment vertical="center"/>
    </xf>
    <xf numFmtId="0" fontId="4" fillId="5" borderId="8" xfId="0" applyFont="1" applyFill="1" applyBorder="1" applyAlignment="1">
      <alignment horizontal="center" vertical="center"/>
    </xf>
    <xf numFmtId="20" fontId="3" fillId="0" borderId="1" xfId="0" applyNumberFormat="1" applyFont="1" applyBorder="1" applyAlignment="1">
      <alignment horizontal="center" vertical="center"/>
    </xf>
    <xf numFmtId="20" fontId="3" fillId="7" borderId="1" xfId="0" applyNumberFormat="1" applyFont="1" applyFill="1" applyBorder="1" applyAlignment="1">
      <alignment horizontal="center" vertical="center"/>
    </xf>
    <xf numFmtId="0" fontId="3" fillId="25" borderId="1" xfId="0" applyFont="1" applyFill="1" applyBorder="1" applyAlignment="1">
      <alignment horizontal="center" vertical="center"/>
    </xf>
    <xf numFmtId="0" fontId="3" fillId="15" borderId="1" xfId="0" applyFont="1" applyFill="1" applyBorder="1" applyAlignment="1">
      <alignment horizontal="center" vertical="center"/>
    </xf>
    <xf numFmtId="0" fontId="8" fillId="10" borderId="2" xfId="0" applyFont="1" applyFill="1" applyBorder="1" applyAlignment="1">
      <alignment horizontal="center" vertical="center"/>
    </xf>
    <xf numFmtId="0" fontId="6" fillId="32" borderId="2" xfId="0" applyFont="1" applyFill="1" applyBorder="1" applyAlignment="1">
      <alignment horizontal="left" vertical="center"/>
    </xf>
    <xf numFmtId="0" fontId="8" fillId="11" borderId="2" xfId="0" applyFont="1" applyFill="1" applyBorder="1" applyAlignment="1">
      <alignment horizontal="center" vertical="center"/>
    </xf>
    <xf numFmtId="0" fontId="0" fillId="11" borderId="2" xfId="0" applyFill="1" applyBorder="1" applyAlignment="1">
      <alignment horizontal="center" vertical="center"/>
    </xf>
    <xf numFmtId="0" fontId="7" fillId="0" borderId="2" xfId="0" applyFont="1" applyBorder="1" applyAlignment="1">
      <alignment horizontal="left" vertical="center"/>
    </xf>
    <xf numFmtId="0" fontId="0" fillId="32" borderId="2" xfId="0" applyFill="1" applyBorder="1" applyAlignment="1">
      <alignment horizontal="left" vertical="top" wrapText="1"/>
    </xf>
    <xf numFmtId="0" fontId="0" fillId="32" borderId="2" xfId="0" applyFill="1" applyBorder="1" applyAlignment="1">
      <alignment horizontal="left" vertical="top"/>
    </xf>
    <xf numFmtId="0" fontId="0" fillId="0" borderId="2" xfId="0" applyBorder="1" applyAlignment="1">
      <alignment horizontal="left" vertical="top" wrapText="1"/>
    </xf>
    <xf numFmtId="0" fontId="0" fillId="0" borderId="2" xfId="0" applyBorder="1" applyAlignment="1">
      <alignment horizontal="left" vertical="top"/>
    </xf>
    <xf numFmtId="0" fontId="8" fillId="7" borderId="2" xfId="0" applyFont="1" applyFill="1" applyBorder="1" applyAlignment="1">
      <alignment horizontal="center" vertical="center"/>
    </xf>
    <xf numFmtId="0" fontId="8" fillId="8" borderId="2" xfId="0" applyFont="1" applyFill="1" applyBorder="1" applyAlignment="1">
      <alignment horizontal="center" vertical="center"/>
    </xf>
    <xf numFmtId="0" fontId="6" fillId="0" borderId="2" xfId="0" applyFont="1" applyFill="1" applyBorder="1" applyAlignment="1">
      <alignment horizontal="left" vertical="center"/>
    </xf>
    <xf numFmtId="0" fontId="8" fillId="13" borderId="2" xfId="0" applyFont="1" applyFill="1" applyBorder="1" applyAlignment="1">
      <alignment horizontal="center" vertical="center"/>
    </xf>
    <xf numFmtId="0" fontId="8" fillId="12" borderId="2" xfId="0" applyFont="1" applyFill="1" applyBorder="1" applyAlignment="1">
      <alignment horizontal="center" vertical="center"/>
    </xf>
    <xf numFmtId="0" fontId="8" fillId="9" borderId="2" xfId="0" applyFont="1" applyFill="1" applyBorder="1" applyAlignment="1">
      <alignment horizontal="center" vertical="center"/>
    </xf>
    <xf numFmtId="0" fontId="0" fillId="0" borderId="10" xfId="0" applyBorder="1" applyAlignment="1">
      <alignment horizontal="center" vertical="center"/>
    </xf>
    <xf numFmtId="0" fontId="6" fillId="17" borderId="2" xfId="0" applyFont="1" applyFill="1" applyBorder="1" applyAlignment="1">
      <alignment horizontal="left" vertical="center"/>
    </xf>
    <xf numFmtId="0" fontId="0" fillId="17" borderId="2" xfId="0" applyFill="1" applyBorder="1" applyAlignment="1">
      <alignment horizontal="left" vertical="top" wrapText="1"/>
    </xf>
    <xf numFmtId="0" fontId="0" fillId="17" borderId="2" xfId="0" applyFill="1" applyBorder="1" applyAlignment="1">
      <alignment horizontal="left" vertical="top"/>
    </xf>
    <xf numFmtId="0" fontId="6" fillId="0" borderId="2" xfId="0" applyFont="1" applyBorder="1" applyAlignment="1">
      <alignment horizontal="left" vertical="center"/>
    </xf>
    <xf numFmtId="0" fontId="6" fillId="16" borderId="2" xfId="0" applyFont="1" applyFill="1" applyBorder="1" applyAlignment="1">
      <alignment horizontal="left" vertical="center"/>
    </xf>
    <xf numFmtId="0" fontId="6" fillId="5" borderId="2" xfId="0" applyFont="1" applyFill="1" applyBorder="1" applyAlignment="1">
      <alignment horizontal="left" vertical="center"/>
    </xf>
    <xf numFmtId="0" fontId="7" fillId="17" borderId="2" xfId="0" applyFont="1" applyFill="1" applyBorder="1" applyAlignment="1">
      <alignment horizontal="left" vertical="center"/>
    </xf>
    <xf numFmtId="0" fontId="0" fillId="0" borderId="3" xfId="0" applyBorder="1" applyAlignment="1">
      <alignment horizontal="center" vertical="center"/>
    </xf>
    <xf numFmtId="0" fontId="6" fillId="24" borderId="2" xfId="0" applyFont="1" applyFill="1" applyBorder="1" applyAlignment="1">
      <alignment horizontal="left" vertical="center" wrapText="1"/>
    </xf>
    <xf numFmtId="0" fontId="6" fillId="24" borderId="2" xfId="0" applyFont="1" applyFill="1" applyBorder="1" applyAlignment="1">
      <alignment horizontal="left" vertical="center"/>
    </xf>
    <xf numFmtId="0" fontId="8" fillId="9" borderId="3" xfId="0" applyFont="1" applyFill="1" applyBorder="1" applyAlignment="1">
      <alignment horizontal="center" vertical="center"/>
    </xf>
    <xf numFmtId="0" fontId="6" fillId="16" borderId="3" xfId="0" applyFont="1" applyFill="1" applyBorder="1" applyAlignment="1">
      <alignment horizontal="left" vertical="center"/>
    </xf>
    <xf numFmtId="0" fontId="0" fillId="0" borderId="3" xfId="0" applyBorder="1" applyAlignment="1">
      <alignment horizontal="left" vertical="top" wrapText="1"/>
    </xf>
    <xf numFmtId="0" fontId="0" fillId="0" borderId="3" xfId="0" applyBorder="1" applyAlignment="1">
      <alignment horizontal="left" vertical="top"/>
    </xf>
    <xf numFmtId="0" fontId="8" fillId="13" borderId="3" xfId="0" applyFont="1" applyFill="1" applyBorder="1" applyAlignment="1">
      <alignment horizontal="center" vertical="center"/>
    </xf>
    <xf numFmtId="0" fontId="6" fillId="17" borderId="3" xfId="0" applyFont="1" applyFill="1" applyBorder="1" applyAlignment="1">
      <alignment horizontal="left" vertical="center"/>
    </xf>
    <xf numFmtId="0" fontId="8" fillId="12" borderId="3" xfId="0" applyFont="1" applyFill="1" applyBorder="1" applyAlignment="1">
      <alignment horizontal="center" vertical="center"/>
    </xf>
    <xf numFmtId="0" fontId="6" fillId="17" borderId="2" xfId="0" applyFont="1" applyFill="1" applyBorder="1" applyAlignment="1">
      <alignment horizontal="left" vertical="center" wrapText="1"/>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15" borderId="1" xfId="0" applyFont="1" applyFill="1" applyBorder="1" applyAlignment="1">
      <alignment horizontal="center" vertical="center"/>
    </xf>
    <xf numFmtId="0" fontId="3" fillId="25" borderId="1" xfId="0" applyFont="1" applyFill="1" applyBorder="1" applyAlignment="1">
      <alignment horizontal="center" vertical="center"/>
    </xf>
    <xf numFmtId="0" fontId="0" fillId="0" borderId="0" xfId="0" applyAlignment="1">
      <alignment vertical="center"/>
    </xf>
    <xf numFmtId="0" fontId="3" fillId="0" borderId="11" xfId="0" applyFont="1" applyBorder="1" applyAlignment="1">
      <alignment vertical="center"/>
    </xf>
    <xf numFmtId="0" fontId="3" fillId="31" borderId="11" xfId="0" applyFont="1" applyFill="1" applyBorder="1" applyAlignment="1">
      <alignment vertical="center"/>
    </xf>
    <xf numFmtId="0" fontId="3" fillId="22" borderId="11" xfId="0" applyFont="1" applyFill="1" applyBorder="1" applyAlignment="1">
      <alignment vertical="center"/>
    </xf>
    <xf numFmtId="0" fontId="3" fillId="0" borderId="12" xfId="0" applyFont="1" applyBorder="1" applyAlignment="1">
      <alignment vertical="center"/>
    </xf>
    <xf numFmtId="0" fontId="3" fillId="22" borderId="9" xfId="0" applyFont="1" applyFill="1" applyBorder="1" applyAlignment="1">
      <alignment vertical="center"/>
    </xf>
    <xf numFmtId="0" fontId="3" fillId="0" borderId="1" xfId="0" applyFont="1" applyBorder="1" applyAlignment="1">
      <alignment vertical="center"/>
    </xf>
    <xf numFmtId="0" fontId="13" fillId="31" borderId="1" xfId="0" applyFont="1" applyFill="1" applyBorder="1" applyAlignment="1">
      <alignment vertical="center"/>
    </xf>
    <xf numFmtId="20" fontId="13" fillId="0" borderId="1" xfId="0" applyNumberFormat="1" applyFont="1" applyBorder="1" applyAlignment="1">
      <alignment vertical="center"/>
    </xf>
    <xf numFmtId="0" fontId="13" fillId="0" borderId="1" xfId="0" applyFont="1" applyBorder="1" applyAlignment="1">
      <alignment vertical="center"/>
    </xf>
    <xf numFmtId="0" fontId="13" fillId="22" borderId="1" xfId="0" applyFont="1" applyFill="1" applyBorder="1" applyAlignment="1">
      <alignment vertical="center"/>
    </xf>
    <xf numFmtId="20" fontId="13" fillId="22" borderId="1" xfId="0" applyNumberFormat="1" applyFont="1" applyFill="1" applyBorder="1" applyAlignment="1">
      <alignment vertical="center"/>
    </xf>
    <xf numFmtId="0" fontId="13" fillId="21" borderId="1" xfId="0" applyFont="1" applyFill="1" applyBorder="1" applyAlignment="1">
      <alignment vertical="center"/>
    </xf>
    <xf numFmtId="0" fontId="3" fillId="21" borderId="1" xfId="0" applyFont="1" applyFill="1" applyBorder="1" applyAlignment="1">
      <alignment vertical="center"/>
    </xf>
    <xf numFmtId="0" fontId="13" fillId="24" borderId="1" xfId="0" applyFont="1" applyFill="1" applyBorder="1" applyAlignment="1">
      <alignment vertical="center"/>
    </xf>
    <xf numFmtId="0" fontId="13" fillId="32" borderId="1" xfId="0" applyFont="1" applyFill="1" applyBorder="1" applyAlignment="1">
      <alignment vertical="center"/>
    </xf>
    <xf numFmtId="0" fontId="3" fillId="0" borderId="0" xfId="0" applyFont="1" applyAlignment="1">
      <alignment vertical="center"/>
    </xf>
    <xf numFmtId="0" fontId="3" fillId="25" borderId="0" xfId="0" applyFont="1" applyFill="1" applyAlignment="1">
      <alignment vertical="center"/>
    </xf>
  </cellXfs>
  <cellStyles count="4">
    <cellStyle name="パーセント" xfId="2" builtinId="5"/>
    <cellStyle name="ハイパーリンク" xfId="3" builtinId="8"/>
    <cellStyle name="桁区切り" xfId="1" builtinId="6"/>
    <cellStyle name="標準" xfId="0" builtinId="0"/>
  </cellStyles>
  <dxfs count="52">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s>
  <tableStyles count="0" defaultTableStyle="TableStyleMedium2" defaultPivotStyle="PivotStyleLight16"/>
  <colors>
    <mruColors>
      <color rgb="FFB9EDFF"/>
      <color rgb="FFA1FDEE"/>
      <color rgb="FFFEFAA0"/>
      <color rgb="FFDAEFC3"/>
      <color rgb="FFFFE89F"/>
      <color rgb="FFC198E0"/>
      <color rgb="FFAAD090"/>
      <color rgb="FFFFCDCD"/>
      <color rgb="FFFF4747"/>
      <color rgb="FFFF6D6D"/>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itle>
    <c:autoTitleDeleted val="0"/>
    <c:plotArea>
      <c:layout>
        <c:manualLayout>
          <c:layoutTarget val="inner"/>
          <c:xMode val="edge"/>
          <c:yMode val="edge"/>
          <c:x val="4.5966577838767689E-2"/>
          <c:y val="0.11991837513257346"/>
          <c:w val="0.93648677688638127"/>
          <c:h val="0.78947582292366081"/>
        </c:manualLayout>
      </c:layout>
      <c:lineChart>
        <c:grouping val="standard"/>
        <c:varyColors val="0"/>
        <c:ser>
          <c:idx val="0"/>
          <c:order val="0"/>
          <c:tx>
            <c:strRef>
              <c:f>'いいね！タイミング調査'!$K$32</c:f>
              <c:strCache>
                <c:ptCount val="1"/>
              </c:strCache>
            </c:strRef>
          </c:tx>
          <c:marker>
            <c:symbol val="none"/>
          </c:marker>
          <c:cat>
            <c:numRef>
              <c:f>'いいね！タイミング調査'!$L$31:$X$31</c:f>
              <c:numCache>
                <c:formatCode>General</c:formatCode>
                <c:ptCount val="13"/>
              </c:numCache>
            </c:numRef>
          </c:cat>
          <c:val>
            <c:numRef>
              <c:f>'いいね！タイミング調査'!$L$32:$X$32</c:f>
              <c:numCache>
                <c:formatCode>General</c:formatCode>
                <c:ptCount val="13"/>
                <c:pt idx="0" formatCode="h:mm">
                  <c:v>0</c:v>
                </c:pt>
                <c:pt idx="1">
                  <c:v>0</c:v>
                </c:pt>
                <c:pt idx="2" formatCode="h:mm">
                  <c:v>0</c:v>
                </c:pt>
                <c:pt idx="3">
                  <c:v>0</c:v>
                </c:pt>
                <c:pt idx="4" formatCode="h:mm">
                  <c:v>0</c:v>
                </c:pt>
                <c:pt idx="5">
                  <c:v>0</c:v>
                </c:pt>
                <c:pt idx="6" formatCode="h:mm">
                  <c:v>0</c:v>
                </c:pt>
                <c:pt idx="7">
                  <c:v>0</c:v>
                </c:pt>
                <c:pt idx="8" formatCode="h:mm">
                  <c:v>0</c:v>
                </c:pt>
                <c:pt idx="9" formatCode="h:mm">
                  <c:v>0</c:v>
                </c:pt>
                <c:pt idx="10">
                  <c:v>0</c:v>
                </c:pt>
                <c:pt idx="11" formatCode="h:mm">
                  <c:v>0</c:v>
                </c:pt>
                <c:pt idx="12">
                  <c:v>0</c:v>
                </c:pt>
              </c:numCache>
            </c:numRef>
          </c:val>
          <c:smooth val="0"/>
        </c:ser>
        <c:dLbls>
          <c:showLegendKey val="0"/>
          <c:showVal val="0"/>
          <c:showCatName val="0"/>
          <c:showSerName val="0"/>
          <c:showPercent val="0"/>
          <c:showBubbleSize val="0"/>
        </c:dLbls>
        <c:marker val="1"/>
        <c:smooth val="0"/>
        <c:axId val="210262272"/>
        <c:axId val="210264064"/>
      </c:lineChart>
      <c:catAx>
        <c:axId val="210262272"/>
        <c:scaling>
          <c:orientation val="minMax"/>
        </c:scaling>
        <c:delete val="0"/>
        <c:axPos val="b"/>
        <c:numFmt formatCode="General" sourceLinked="1"/>
        <c:majorTickMark val="out"/>
        <c:minorTickMark val="none"/>
        <c:tickLblPos val="nextTo"/>
        <c:crossAx val="210264064"/>
        <c:crosses val="autoZero"/>
        <c:auto val="1"/>
        <c:lblAlgn val="ctr"/>
        <c:lblOffset val="100"/>
        <c:noMultiLvlLbl val="0"/>
      </c:catAx>
      <c:valAx>
        <c:axId val="210264064"/>
        <c:scaling>
          <c:orientation val="minMax"/>
        </c:scaling>
        <c:delete val="0"/>
        <c:axPos val="l"/>
        <c:majorGridlines/>
        <c:numFmt formatCode="h:mm" sourceLinked="1"/>
        <c:majorTickMark val="out"/>
        <c:minorTickMark val="none"/>
        <c:tickLblPos val="nextTo"/>
        <c:crossAx val="210262272"/>
        <c:crosses val="autoZero"/>
        <c:crossBetween val="between"/>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25</xdr:col>
      <xdr:colOff>80042</xdr:colOff>
      <xdr:row>53</xdr:row>
      <xdr:rowOff>114061</xdr:rowOff>
    </xdr:from>
    <xdr:to>
      <xdr:col>40</xdr:col>
      <xdr:colOff>109658</xdr:colOff>
      <xdr:row>79</xdr:row>
      <xdr:rowOff>25480</xdr:rowOff>
    </xdr:to>
    <xdr:graphicFrame macro="">
      <xdr:nvGraphicFramePr>
        <xdr:cNvPr id="25" name="グラフ 2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3" Type="http://schemas.openxmlformats.org/officeDocument/2006/relationships/hyperlink" Target="&#12513;&#12523;&#12459;&#12522;&#23550;&#31574;\M013" TargetMode="External"/><Relationship Id="rId18" Type="http://schemas.openxmlformats.org/officeDocument/2006/relationships/hyperlink" Target="&#12513;&#12523;&#12459;&#12522;&#23550;&#31574;\M008" TargetMode="External"/><Relationship Id="rId26" Type="http://schemas.openxmlformats.org/officeDocument/2006/relationships/hyperlink" Target="&#12513;&#12523;&#12459;&#12522;&#23550;&#31574;\M010" TargetMode="External"/><Relationship Id="rId39" Type="http://schemas.openxmlformats.org/officeDocument/2006/relationships/hyperlink" Target="&#12513;&#12523;&#12459;&#12522;&#23550;&#31574;\M014" TargetMode="External"/><Relationship Id="rId3" Type="http://schemas.openxmlformats.org/officeDocument/2006/relationships/hyperlink" Target="&#12513;&#12523;&#12459;&#12522;&#23550;&#31574;\M002" TargetMode="External"/><Relationship Id="rId21" Type="http://schemas.openxmlformats.org/officeDocument/2006/relationships/hyperlink" Target="&#12513;&#12523;&#12459;&#12522;&#23550;&#31574;\M011" TargetMode="External"/><Relationship Id="rId34" Type="http://schemas.openxmlformats.org/officeDocument/2006/relationships/hyperlink" Target="&#12513;&#12523;&#12459;&#12522;&#23550;&#31574;\M014" TargetMode="External"/><Relationship Id="rId42" Type="http://schemas.openxmlformats.org/officeDocument/2006/relationships/hyperlink" Target="&#12513;&#12523;&#12459;&#12522;&#23550;&#31574;\M014" TargetMode="External"/><Relationship Id="rId47" Type="http://schemas.openxmlformats.org/officeDocument/2006/relationships/hyperlink" Target="&#12513;&#12523;&#12459;&#12522;&#23550;&#31574;\M011" TargetMode="External"/><Relationship Id="rId50" Type="http://schemas.openxmlformats.org/officeDocument/2006/relationships/hyperlink" Target="&#12513;&#12523;&#12459;&#12522;&#23550;&#31574;\M014" TargetMode="External"/><Relationship Id="rId7" Type="http://schemas.openxmlformats.org/officeDocument/2006/relationships/hyperlink" Target="&#12513;&#12523;&#12459;&#12522;&#23550;&#31574;\M006" TargetMode="External"/><Relationship Id="rId12" Type="http://schemas.openxmlformats.org/officeDocument/2006/relationships/hyperlink" Target="&#12513;&#12523;&#12459;&#12522;&#23550;&#31574;\M012" TargetMode="External"/><Relationship Id="rId17" Type="http://schemas.openxmlformats.org/officeDocument/2006/relationships/hyperlink" Target="&#12513;&#12523;&#12459;&#12522;&#23550;&#31574;\M007" TargetMode="External"/><Relationship Id="rId25" Type="http://schemas.openxmlformats.org/officeDocument/2006/relationships/hyperlink" Target="&#12513;&#12523;&#12459;&#12522;&#23550;&#31574;\M009" TargetMode="External"/><Relationship Id="rId33" Type="http://schemas.openxmlformats.org/officeDocument/2006/relationships/hyperlink" Target="&#12513;&#12523;&#12459;&#12522;&#23550;&#31574;\M014" TargetMode="External"/><Relationship Id="rId38" Type="http://schemas.openxmlformats.org/officeDocument/2006/relationships/hyperlink" Target="&#12513;&#12523;&#12459;&#12522;&#23550;&#31574;\M014" TargetMode="External"/><Relationship Id="rId46" Type="http://schemas.openxmlformats.org/officeDocument/2006/relationships/hyperlink" Target="&#12513;&#12523;&#12459;&#12522;&#23550;&#31574;\M014" TargetMode="External"/><Relationship Id="rId2" Type="http://schemas.openxmlformats.org/officeDocument/2006/relationships/hyperlink" Target="&#12513;&#12523;&#12459;&#12522;&#23550;&#31574;\M003" TargetMode="External"/><Relationship Id="rId16" Type="http://schemas.openxmlformats.org/officeDocument/2006/relationships/hyperlink" Target="&#12513;&#12523;&#12459;&#12522;&#23550;&#31574;\M016" TargetMode="External"/><Relationship Id="rId20" Type="http://schemas.openxmlformats.org/officeDocument/2006/relationships/hyperlink" Target="&#12513;&#12523;&#12459;&#12522;&#23550;&#31574;\M010" TargetMode="External"/><Relationship Id="rId29" Type="http://schemas.openxmlformats.org/officeDocument/2006/relationships/hyperlink" Target="&#12513;&#12523;&#12459;&#12522;&#23550;&#31574;\M013" TargetMode="External"/><Relationship Id="rId41" Type="http://schemas.openxmlformats.org/officeDocument/2006/relationships/hyperlink" Target="&#12513;&#12523;&#12459;&#12522;&#23550;&#31574;\M014" TargetMode="External"/><Relationship Id="rId1" Type="http://schemas.openxmlformats.org/officeDocument/2006/relationships/hyperlink" Target="&#12513;&#12523;&#12459;&#12522;&#23550;&#31574;\M001" TargetMode="External"/><Relationship Id="rId6" Type="http://schemas.openxmlformats.org/officeDocument/2006/relationships/hyperlink" Target="&#12513;&#12523;&#12459;&#12522;&#23550;&#31574;\M007" TargetMode="External"/><Relationship Id="rId11" Type="http://schemas.openxmlformats.org/officeDocument/2006/relationships/hyperlink" Target="&#12513;&#12523;&#12459;&#12522;&#23550;&#31574;\M011" TargetMode="External"/><Relationship Id="rId24" Type="http://schemas.openxmlformats.org/officeDocument/2006/relationships/hyperlink" Target="&#12513;&#12523;&#12459;&#12522;&#23550;&#31574;\M014" TargetMode="External"/><Relationship Id="rId32" Type="http://schemas.openxmlformats.org/officeDocument/2006/relationships/hyperlink" Target="&#12513;&#12523;&#12459;&#12522;&#23550;&#31574;\M014" TargetMode="External"/><Relationship Id="rId37" Type="http://schemas.openxmlformats.org/officeDocument/2006/relationships/hyperlink" Target="&#12513;&#12523;&#12459;&#12522;&#23550;&#31574;\M014" TargetMode="External"/><Relationship Id="rId40" Type="http://schemas.openxmlformats.org/officeDocument/2006/relationships/hyperlink" Target="&#12513;&#12523;&#12459;&#12522;&#23550;&#31574;\M014" TargetMode="External"/><Relationship Id="rId45" Type="http://schemas.openxmlformats.org/officeDocument/2006/relationships/hyperlink" Target="&#12513;&#12523;&#12459;&#12522;&#23550;&#31574;\M014" TargetMode="External"/><Relationship Id="rId5" Type="http://schemas.openxmlformats.org/officeDocument/2006/relationships/hyperlink" Target="&#12513;&#12523;&#12459;&#12522;&#23550;&#31574;\M005" TargetMode="External"/><Relationship Id="rId15" Type="http://schemas.openxmlformats.org/officeDocument/2006/relationships/hyperlink" Target="&#12513;&#12523;&#12459;&#12522;&#23550;&#31574;\M015" TargetMode="External"/><Relationship Id="rId23" Type="http://schemas.openxmlformats.org/officeDocument/2006/relationships/hyperlink" Target="&#12513;&#12523;&#12459;&#12522;&#23550;&#31574;\M013" TargetMode="External"/><Relationship Id="rId28" Type="http://schemas.openxmlformats.org/officeDocument/2006/relationships/hyperlink" Target="&#12513;&#12523;&#12459;&#12522;&#23550;&#31574;\M012" TargetMode="External"/><Relationship Id="rId36" Type="http://schemas.openxmlformats.org/officeDocument/2006/relationships/hyperlink" Target="&#12513;&#12523;&#12459;&#12522;&#23550;&#31574;\M014" TargetMode="External"/><Relationship Id="rId49" Type="http://schemas.openxmlformats.org/officeDocument/2006/relationships/hyperlink" Target="&#12513;&#12523;&#12459;&#12522;&#23550;&#31574;\M014" TargetMode="External"/><Relationship Id="rId10" Type="http://schemas.openxmlformats.org/officeDocument/2006/relationships/hyperlink" Target="&#12513;&#12523;&#12459;&#12522;&#23550;&#31574;\M010" TargetMode="External"/><Relationship Id="rId19" Type="http://schemas.openxmlformats.org/officeDocument/2006/relationships/hyperlink" Target="&#12513;&#12523;&#12459;&#12522;&#23550;&#31574;\M009" TargetMode="External"/><Relationship Id="rId31" Type="http://schemas.openxmlformats.org/officeDocument/2006/relationships/hyperlink" Target="&#12513;&#12523;&#12459;&#12522;&#23550;&#31574;\M014" TargetMode="External"/><Relationship Id="rId44" Type="http://schemas.openxmlformats.org/officeDocument/2006/relationships/hyperlink" Target="&#12513;&#12523;&#12459;&#12522;&#23550;&#31574;\M014" TargetMode="External"/><Relationship Id="rId4" Type="http://schemas.openxmlformats.org/officeDocument/2006/relationships/hyperlink" Target="&#12513;&#12523;&#12459;&#12522;&#23550;&#31574;\M004" TargetMode="External"/><Relationship Id="rId9" Type="http://schemas.openxmlformats.org/officeDocument/2006/relationships/hyperlink" Target="&#12513;&#12523;&#12459;&#12522;&#23550;&#31574;\M009" TargetMode="External"/><Relationship Id="rId14" Type="http://schemas.openxmlformats.org/officeDocument/2006/relationships/hyperlink" Target="&#12513;&#12523;&#12459;&#12522;&#23550;&#31574;\M014" TargetMode="External"/><Relationship Id="rId22" Type="http://schemas.openxmlformats.org/officeDocument/2006/relationships/hyperlink" Target="&#12513;&#12523;&#12459;&#12522;&#23550;&#31574;\M012" TargetMode="External"/><Relationship Id="rId27" Type="http://schemas.openxmlformats.org/officeDocument/2006/relationships/hyperlink" Target="&#12513;&#12523;&#12459;&#12522;&#23550;&#31574;\M011" TargetMode="External"/><Relationship Id="rId30" Type="http://schemas.openxmlformats.org/officeDocument/2006/relationships/hyperlink" Target="&#12513;&#12523;&#12459;&#12522;&#23550;&#31574;\M014" TargetMode="External"/><Relationship Id="rId35" Type="http://schemas.openxmlformats.org/officeDocument/2006/relationships/hyperlink" Target="&#12513;&#12523;&#12459;&#12522;&#23550;&#31574;\M014" TargetMode="External"/><Relationship Id="rId43" Type="http://schemas.openxmlformats.org/officeDocument/2006/relationships/hyperlink" Target="&#12513;&#12523;&#12459;&#12522;&#23550;&#31574;\M014" TargetMode="External"/><Relationship Id="rId48" Type="http://schemas.openxmlformats.org/officeDocument/2006/relationships/hyperlink" Target="&#12513;&#12523;&#12459;&#12522;&#23550;&#31574;\M012" TargetMode="External"/><Relationship Id="rId8" Type="http://schemas.openxmlformats.org/officeDocument/2006/relationships/hyperlink" Target="&#12513;&#12523;&#12459;&#12522;&#23550;&#31574;\M008" TargetMode="External"/><Relationship Id="rId5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12513;&#12523;&#12459;&#12522;&#23550;&#31574;\M002" TargetMode="External"/><Relationship Id="rId13" Type="http://schemas.openxmlformats.org/officeDocument/2006/relationships/hyperlink" Target="&#12513;&#12523;&#12459;&#12522;&#23550;&#31574;\M006" TargetMode="External"/><Relationship Id="rId18" Type="http://schemas.openxmlformats.org/officeDocument/2006/relationships/hyperlink" Target="&#12513;&#12523;&#12459;&#12522;&#23550;&#31574;\M014" TargetMode="External"/><Relationship Id="rId3" Type="http://schemas.openxmlformats.org/officeDocument/2006/relationships/hyperlink" Target="&#12513;&#12523;&#12459;&#12522;&#23550;&#31574;\M007" TargetMode="External"/><Relationship Id="rId7" Type="http://schemas.openxmlformats.org/officeDocument/2006/relationships/hyperlink" Target="&#12513;&#12523;&#12459;&#12522;&#23550;&#31574;\M002" TargetMode="External"/><Relationship Id="rId12" Type="http://schemas.openxmlformats.org/officeDocument/2006/relationships/hyperlink" Target="&#12513;&#12523;&#12459;&#12522;&#23550;&#31574;\M001" TargetMode="External"/><Relationship Id="rId17" Type="http://schemas.openxmlformats.org/officeDocument/2006/relationships/hyperlink" Target="&#12513;&#12523;&#12459;&#12522;&#23550;&#31574;\M014" TargetMode="External"/><Relationship Id="rId2" Type="http://schemas.openxmlformats.org/officeDocument/2006/relationships/hyperlink" Target="&#12513;&#12523;&#12459;&#12522;&#23550;&#31574;\M010" TargetMode="External"/><Relationship Id="rId16" Type="http://schemas.openxmlformats.org/officeDocument/2006/relationships/hyperlink" Target="&#12513;&#12523;&#12459;&#12522;&#23550;&#31574;\M013" TargetMode="External"/><Relationship Id="rId1" Type="http://schemas.openxmlformats.org/officeDocument/2006/relationships/hyperlink" Target="&#12513;&#12523;&#12459;&#12522;&#23550;&#31574;\M007" TargetMode="External"/><Relationship Id="rId6" Type="http://schemas.openxmlformats.org/officeDocument/2006/relationships/hyperlink" Target="&#12513;&#12523;&#12459;&#12522;&#23550;&#31574;\M002" TargetMode="External"/><Relationship Id="rId11" Type="http://schemas.openxmlformats.org/officeDocument/2006/relationships/hyperlink" Target="&#12513;&#12523;&#12459;&#12522;&#23550;&#31574;\M008" TargetMode="External"/><Relationship Id="rId5" Type="http://schemas.openxmlformats.org/officeDocument/2006/relationships/hyperlink" Target="&#12513;&#12523;&#12459;&#12522;&#23550;&#31574;\M010" TargetMode="External"/><Relationship Id="rId15" Type="http://schemas.openxmlformats.org/officeDocument/2006/relationships/hyperlink" Target="&#12513;&#12523;&#12459;&#12522;&#23550;&#31574;\M011" TargetMode="External"/><Relationship Id="rId10" Type="http://schemas.openxmlformats.org/officeDocument/2006/relationships/hyperlink" Target="&#12513;&#12523;&#12459;&#12522;&#23550;&#31574;\M009" TargetMode="External"/><Relationship Id="rId4" Type="http://schemas.openxmlformats.org/officeDocument/2006/relationships/hyperlink" Target="&#12513;&#12523;&#12459;&#12522;&#23550;&#31574;\M009" TargetMode="External"/><Relationship Id="rId9" Type="http://schemas.openxmlformats.org/officeDocument/2006/relationships/hyperlink" Target="&#12513;&#12523;&#12459;&#12522;&#23550;&#31574;\M002" TargetMode="External"/><Relationship Id="rId14" Type="http://schemas.openxmlformats.org/officeDocument/2006/relationships/hyperlink" Target="&#12513;&#12523;&#12459;&#12522;&#23550;&#31574;\M014"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A10"/>
  <sheetViews>
    <sheetView zoomScaleNormal="100" workbookViewId="0">
      <selection activeCell="N14" sqref="N14"/>
    </sheetView>
  </sheetViews>
  <sheetFormatPr defaultRowHeight="13" x14ac:dyDescent="0.2"/>
  <cols>
    <col min="2" max="2" width="12.36328125" bestFit="1" customWidth="1"/>
    <col min="3" max="3" width="11.08984375" customWidth="1"/>
    <col min="4" max="4" width="16.453125" customWidth="1"/>
    <col min="5" max="5" width="14" customWidth="1"/>
    <col min="6" max="6" width="13" customWidth="1"/>
    <col min="7" max="7" width="13.08984375" customWidth="1"/>
    <col min="8" max="8" width="10.90625" customWidth="1"/>
    <col min="9" max="9" width="11" customWidth="1"/>
    <col min="10" max="10" width="11.90625" customWidth="1"/>
    <col min="11" max="11" width="12.453125" customWidth="1"/>
    <col min="12" max="12" width="11.81640625" customWidth="1"/>
    <col min="13" max="13" width="10.6328125" customWidth="1"/>
    <col min="14" max="14" width="11.36328125" customWidth="1"/>
  </cols>
  <sheetData>
    <row r="4" ht="15.9" customHeight="1" x14ac:dyDescent="0.2"/>
    <row r="5" ht="15.9" customHeight="1" x14ac:dyDescent="0.15"/>
    <row r="6" ht="15.9" customHeight="1" x14ac:dyDescent="0.2"/>
    <row r="7" ht="15.9" customHeight="1" x14ac:dyDescent="0.2"/>
    <row r="8" ht="15.9" customHeight="1" x14ac:dyDescent="0.2"/>
    <row r="9" ht="15.9" customHeight="1" x14ac:dyDescent="0.2"/>
    <row r="10" ht="19.5" customHeight="1" x14ac:dyDescent="0.2"/>
  </sheetData>
  <phoneticPr fontId="2"/>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W153"/>
  <sheetViews>
    <sheetView zoomScale="70" zoomScaleNormal="70" workbookViewId="0">
      <pane xSplit="2" ySplit="4" topLeftCell="C65" activePane="bottomRight" state="frozen"/>
      <selection pane="topRight" activeCell="C1" sqref="C1"/>
      <selection pane="bottomLeft" activeCell="A5" sqref="A5"/>
      <selection pane="bottomRight" activeCell="E78" sqref="E78:L79"/>
    </sheetView>
  </sheetViews>
  <sheetFormatPr defaultRowHeight="13" x14ac:dyDescent="0.2"/>
  <cols>
    <col min="1" max="3" width="8.90625" customWidth="1"/>
    <col min="14" max="14" width="10.54296875" customWidth="1"/>
    <col min="23" max="23" width="10" bestFit="1" customWidth="1"/>
  </cols>
  <sheetData>
    <row r="1" spans="3:23" x14ac:dyDescent="0.2">
      <c r="U1" s="110" t="s">
        <v>169</v>
      </c>
      <c r="V1" s="110"/>
      <c r="W1" s="110"/>
    </row>
    <row r="2" spans="3:23" x14ac:dyDescent="0.2">
      <c r="C2" s="14"/>
      <c r="D2" s="14" t="s">
        <v>39</v>
      </c>
      <c r="E2" s="14" t="s">
        <v>40</v>
      </c>
      <c r="F2" s="14" t="s">
        <v>41</v>
      </c>
      <c r="G2" s="15" t="s">
        <v>36</v>
      </c>
      <c r="H2" s="7" t="s">
        <v>38</v>
      </c>
      <c r="I2" s="16" t="s">
        <v>37</v>
      </c>
      <c r="K2" s="19" t="s">
        <v>43</v>
      </c>
      <c r="L2" s="19" t="s">
        <v>1</v>
      </c>
      <c r="M2" s="20" t="s">
        <v>4</v>
      </c>
      <c r="N2" s="19" t="s">
        <v>0</v>
      </c>
      <c r="O2" s="19" t="s">
        <v>45</v>
      </c>
      <c r="P2" s="19" t="s">
        <v>3</v>
      </c>
      <c r="Q2" s="19" t="s">
        <v>44</v>
      </c>
      <c r="U2" s="56" t="s">
        <v>125</v>
      </c>
      <c r="V2" s="118">
        <v>6000</v>
      </c>
      <c r="W2" s="118"/>
    </row>
    <row r="3" spans="3:23" x14ac:dyDescent="0.2">
      <c r="C3" s="13" t="s">
        <v>35</v>
      </c>
      <c r="D3" s="13">
        <v>20</v>
      </c>
      <c r="E3" s="13">
        <v>5</v>
      </c>
      <c r="F3" s="13">
        <v>215</v>
      </c>
      <c r="G3" s="13">
        <f>D3+E3+F3</f>
        <v>240</v>
      </c>
      <c r="H3" s="13">
        <v>730</v>
      </c>
      <c r="I3" s="13">
        <v>850</v>
      </c>
      <c r="K3" s="21">
        <f>SUM(G9,R9,G12,R12,G15,R15,G18,R18,G21,R21,G24,R24,G27,R27,G30,R30,G33,R33,G36,R36,G39,R39,G42,R42,G45,R45,G48,R48,G51,R51,G54,R54,G57,R57,G60,R60,G63,R63,G66,R66,G69,R69,G72,R72,G75,R75,G78,R78,G81,R81,G84,R84,G87,R87,G90,R90,G93,R93,G96,R96,G99,R99,G102,R102,G105,R105,G111,R111,G117,R117,R123,G123,R129,G129,G135,R135,R141,G141,G147,)</f>
        <v>282880</v>
      </c>
      <c r="L3" s="21">
        <f>SUM(K9,V9,K12,V12,K15,V15,K18,V18,K21,V21,K24,V24,K27,V27,K30,V30,K33,V33,K36,V36,K39,V39,K42,V42,K45,V45,K48,V48,K51,V51,K54,V54,K57,V57,K60,V60,K63,V63,K66,V66,K69,V69,K72,V72,K75,V75,K78,V78,K81,V81,K84,V84,K87,V87,K90,V90,K93,V93,K96,V96,K99,V99,K102,V102,K105,V105,K147)</f>
        <v>164291</v>
      </c>
      <c r="M3" s="22">
        <f>SUM(E9,P9,E12,P12,E15,P15,E18,P18,E21,P21,E24,P24,E27,P27,E30,P30,E33,P33,E36,P36,E39,P39,E42,P42,E45,P45,E48,P48,E51,P51,E54,P54,E57,P57,E60,P60,E63,P63,E66,P66,E69,P69,E72,P72,E75,P75,E78,P78,E81,P81,E84,P84,E87,P87,E90,P90,E93,P93,E96,P96,E99,P99,E102,P102,E105,P105)</f>
        <v>-18198.099999999999</v>
      </c>
      <c r="N3" s="62">
        <f>L3/(L3-M3)</f>
        <v>0.90027842758827781</v>
      </c>
      <c r="O3" s="23">
        <f>L3-K3</f>
        <v>-118589</v>
      </c>
      <c r="P3" s="21">
        <f>L3-K3-M3</f>
        <v>-100390.9</v>
      </c>
      <c r="Q3" s="62">
        <f>P3/L3</f>
        <v>-0.61105538343548949</v>
      </c>
      <c r="U3" s="58" t="s">
        <v>126</v>
      </c>
      <c r="V3" s="57">
        <f>V2*0.9-G3</f>
        <v>5160</v>
      </c>
      <c r="W3" s="57">
        <f>V2*0.9-I3</f>
        <v>4550</v>
      </c>
    </row>
    <row r="5" spans="3:23" ht="19" x14ac:dyDescent="0.2">
      <c r="C5" s="104">
        <v>1</v>
      </c>
      <c r="D5" s="4" t="s">
        <v>13</v>
      </c>
      <c r="E5" s="111" t="s">
        <v>17</v>
      </c>
      <c r="F5" s="111"/>
      <c r="G5" s="111"/>
      <c r="H5" s="111"/>
      <c r="I5" s="111"/>
      <c r="J5" s="111"/>
      <c r="K5" s="111"/>
      <c r="L5" s="111"/>
      <c r="N5" s="105">
        <v>2</v>
      </c>
      <c r="O5" s="59" t="s">
        <v>13</v>
      </c>
      <c r="P5" s="111" t="s">
        <v>20</v>
      </c>
      <c r="Q5" s="111"/>
      <c r="R5" s="111"/>
      <c r="S5" s="111"/>
      <c r="T5" s="111"/>
      <c r="U5" s="111"/>
      <c r="V5" s="111"/>
      <c r="W5" s="111"/>
    </row>
    <row r="6" spans="3:23" ht="50.15" customHeight="1" x14ac:dyDescent="0.2">
      <c r="C6" s="104"/>
      <c r="D6" s="4" t="s">
        <v>16</v>
      </c>
      <c r="E6" s="112" t="s">
        <v>141</v>
      </c>
      <c r="F6" s="113"/>
      <c r="G6" s="113"/>
      <c r="H6" s="113"/>
      <c r="I6" s="113"/>
      <c r="J6" s="113"/>
      <c r="K6" s="113"/>
      <c r="L6" s="113"/>
      <c r="N6" s="105"/>
      <c r="O6" s="59" t="s">
        <v>16</v>
      </c>
      <c r="P6" s="112" t="s">
        <v>15</v>
      </c>
      <c r="Q6" s="113"/>
      <c r="R6" s="113"/>
      <c r="S6" s="113"/>
      <c r="T6" s="113"/>
      <c r="U6" s="113"/>
      <c r="V6" s="113"/>
      <c r="W6" s="113"/>
    </row>
    <row r="7" spans="3:23" ht="50.15" customHeight="1" x14ac:dyDescent="0.2">
      <c r="C7" s="104"/>
      <c r="D7" s="5" t="s">
        <v>14</v>
      </c>
      <c r="E7" s="113"/>
      <c r="F7" s="113"/>
      <c r="G7" s="113"/>
      <c r="H7" s="113"/>
      <c r="I7" s="113"/>
      <c r="J7" s="113"/>
      <c r="K7" s="113"/>
      <c r="L7" s="113"/>
      <c r="N7" s="105"/>
      <c r="O7" s="60" t="s">
        <v>14</v>
      </c>
      <c r="P7" s="113"/>
      <c r="Q7" s="113"/>
      <c r="R7" s="113"/>
      <c r="S7" s="113"/>
      <c r="T7" s="113"/>
      <c r="U7" s="113"/>
      <c r="V7" s="113"/>
      <c r="W7" s="113"/>
    </row>
    <row r="8" spans="3:23" x14ac:dyDescent="0.2">
      <c r="C8" s="104"/>
      <c r="D8" s="4"/>
      <c r="E8" s="6" t="s">
        <v>11</v>
      </c>
      <c r="F8" s="6" t="s">
        <v>5</v>
      </c>
      <c r="G8" s="6" t="s">
        <v>10</v>
      </c>
      <c r="H8" s="6" t="s">
        <v>6</v>
      </c>
      <c r="I8" s="6" t="s">
        <v>7</v>
      </c>
      <c r="J8" s="6" t="s">
        <v>8</v>
      </c>
      <c r="K8" s="6" t="s">
        <v>9</v>
      </c>
      <c r="L8" s="6" t="s">
        <v>12</v>
      </c>
      <c r="N8" s="105"/>
      <c r="O8" s="4"/>
      <c r="P8" s="6" t="s">
        <v>11</v>
      </c>
      <c r="Q8" s="6" t="s">
        <v>5</v>
      </c>
      <c r="R8" s="6" t="s">
        <v>10</v>
      </c>
      <c r="S8" s="6" t="s">
        <v>6</v>
      </c>
      <c r="T8" s="6" t="s">
        <v>7</v>
      </c>
      <c r="U8" s="6" t="s">
        <v>8</v>
      </c>
      <c r="V8" s="6" t="s">
        <v>9</v>
      </c>
      <c r="W8" s="6" t="s">
        <v>12</v>
      </c>
    </row>
    <row r="9" spans="3:23" x14ac:dyDescent="0.2">
      <c r="C9" s="104"/>
      <c r="D9" s="4"/>
      <c r="E9" s="17">
        <f>K9-(K9*0.1)-$I$3-G9</f>
        <v>-2750</v>
      </c>
      <c r="F9" s="4">
        <v>21500</v>
      </c>
      <c r="G9" s="4">
        <v>9100</v>
      </c>
      <c r="H9" s="4">
        <v>18000</v>
      </c>
      <c r="I9" s="4">
        <v>15000</v>
      </c>
      <c r="J9" s="4">
        <v>5000</v>
      </c>
      <c r="K9" s="4">
        <v>8000</v>
      </c>
      <c r="L9" s="11">
        <f>(E9+G9)/G9</f>
        <v>0.69780219780219777</v>
      </c>
      <c r="N9" s="105"/>
      <c r="O9" s="4"/>
      <c r="P9" s="17">
        <f>V9-(V9*0.1)-$I$3-R9</f>
        <v>-3620</v>
      </c>
      <c r="Q9" s="4">
        <v>11000</v>
      </c>
      <c r="R9" s="4">
        <v>8800</v>
      </c>
      <c r="S9" s="4">
        <v>12000</v>
      </c>
      <c r="T9" s="4">
        <v>9999</v>
      </c>
      <c r="U9" s="4">
        <v>5000</v>
      </c>
      <c r="V9" s="4">
        <v>6700</v>
      </c>
      <c r="W9" s="11">
        <f>(P9+R9)/R9</f>
        <v>0.58863636363636362</v>
      </c>
    </row>
    <row r="10" spans="3:23" ht="13.25" customHeight="1" x14ac:dyDescent="0.15">
      <c r="C10" s="8"/>
      <c r="N10" s="8"/>
    </row>
    <row r="11" spans="3:23" ht="19" x14ac:dyDescent="0.2">
      <c r="C11" s="107">
        <v>3</v>
      </c>
      <c r="D11" s="4" t="s">
        <v>13</v>
      </c>
      <c r="E11" s="114" t="s">
        <v>18</v>
      </c>
      <c r="F11" s="114"/>
      <c r="G11" s="114"/>
      <c r="H11" s="114"/>
      <c r="I11" s="114"/>
      <c r="J11" s="114"/>
      <c r="K11" s="114"/>
      <c r="L11" s="114"/>
      <c r="N11" s="108">
        <v>4</v>
      </c>
      <c r="O11" s="4" t="s">
        <v>13</v>
      </c>
      <c r="P11" s="114" t="s">
        <v>173</v>
      </c>
      <c r="Q11" s="114"/>
      <c r="R11" s="114"/>
      <c r="S11" s="114"/>
      <c r="T11" s="114"/>
      <c r="U11" s="114"/>
      <c r="V11" s="114"/>
      <c r="W11" s="114"/>
    </row>
    <row r="12" spans="3:23" ht="50.15" customHeight="1" x14ac:dyDescent="0.2">
      <c r="C12" s="107"/>
      <c r="D12" s="4" t="s">
        <v>16</v>
      </c>
      <c r="E12" s="102" t="s">
        <v>19</v>
      </c>
      <c r="F12" s="103"/>
      <c r="G12" s="103"/>
      <c r="H12" s="103"/>
      <c r="I12" s="103"/>
      <c r="J12" s="103"/>
      <c r="K12" s="103"/>
      <c r="L12" s="103"/>
      <c r="N12" s="108"/>
      <c r="O12" s="4" t="s">
        <v>16</v>
      </c>
      <c r="P12" s="102" t="s">
        <v>172</v>
      </c>
      <c r="Q12" s="103"/>
      <c r="R12" s="103"/>
      <c r="S12" s="103"/>
      <c r="T12" s="103"/>
      <c r="U12" s="103"/>
      <c r="V12" s="103"/>
      <c r="W12" s="103"/>
    </row>
    <row r="13" spans="3:23" ht="50.15" customHeight="1" x14ac:dyDescent="0.2">
      <c r="C13" s="107"/>
      <c r="D13" s="5" t="s">
        <v>14</v>
      </c>
      <c r="E13" s="103"/>
      <c r="F13" s="103"/>
      <c r="G13" s="103"/>
      <c r="H13" s="103"/>
      <c r="I13" s="103"/>
      <c r="J13" s="103"/>
      <c r="K13" s="103"/>
      <c r="L13" s="103"/>
      <c r="N13" s="108"/>
      <c r="O13" s="5" t="s">
        <v>14</v>
      </c>
      <c r="P13" s="103"/>
      <c r="Q13" s="103"/>
      <c r="R13" s="103"/>
      <c r="S13" s="103"/>
      <c r="T13" s="103"/>
      <c r="U13" s="103"/>
      <c r="V13" s="103"/>
      <c r="W13" s="103"/>
    </row>
    <row r="14" spans="3:23" x14ac:dyDescent="0.2">
      <c r="C14" s="107"/>
      <c r="D14" s="4"/>
      <c r="E14" s="6" t="s">
        <v>11</v>
      </c>
      <c r="F14" s="6" t="s">
        <v>5</v>
      </c>
      <c r="G14" s="6" t="s">
        <v>10</v>
      </c>
      <c r="H14" s="6" t="s">
        <v>6</v>
      </c>
      <c r="I14" s="6" t="s">
        <v>7</v>
      </c>
      <c r="J14" s="6" t="s">
        <v>8</v>
      </c>
      <c r="K14" s="6" t="s">
        <v>9</v>
      </c>
      <c r="L14" s="6" t="s">
        <v>12</v>
      </c>
      <c r="N14" s="108"/>
      <c r="O14" s="4"/>
      <c r="P14" s="6" t="s">
        <v>11</v>
      </c>
      <c r="Q14" s="6" t="s">
        <v>5</v>
      </c>
      <c r="R14" s="6" t="s">
        <v>10</v>
      </c>
      <c r="S14" s="6" t="s">
        <v>6</v>
      </c>
      <c r="T14" s="6" t="s">
        <v>7</v>
      </c>
      <c r="U14" s="6" t="s">
        <v>8</v>
      </c>
      <c r="V14" s="6" t="s">
        <v>9</v>
      </c>
      <c r="W14" s="6" t="s">
        <v>12</v>
      </c>
    </row>
    <row r="15" spans="3:23" x14ac:dyDescent="0.2">
      <c r="C15" s="107"/>
      <c r="D15" s="4"/>
      <c r="E15" s="4"/>
      <c r="F15" s="4">
        <v>20000</v>
      </c>
      <c r="G15" s="4">
        <v>8800</v>
      </c>
      <c r="H15" s="4"/>
      <c r="I15" s="4"/>
      <c r="J15" s="4"/>
      <c r="K15" s="4"/>
      <c r="L15" s="11">
        <f>(E15+G15)/G15</f>
        <v>1</v>
      </c>
      <c r="N15" s="108"/>
      <c r="O15" s="4"/>
      <c r="P15" s="4"/>
      <c r="Q15" s="4">
        <v>13000</v>
      </c>
      <c r="R15" s="4">
        <v>4200</v>
      </c>
      <c r="S15" s="4">
        <v>6999</v>
      </c>
      <c r="T15" s="4"/>
      <c r="U15" s="4"/>
      <c r="V15" s="4"/>
      <c r="W15" s="11">
        <f>(P15+R15)/R15</f>
        <v>1</v>
      </c>
    </row>
    <row r="16" spans="3:23" ht="13.25" customHeight="1" x14ac:dyDescent="0.15">
      <c r="C16" s="8"/>
      <c r="N16" s="8"/>
    </row>
    <row r="17" spans="3:23" ht="19" x14ac:dyDescent="0.2">
      <c r="C17" s="95">
        <v>5</v>
      </c>
      <c r="D17" s="4" t="s">
        <v>13</v>
      </c>
      <c r="E17" s="119" t="s">
        <v>213</v>
      </c>
      <c r="F17" s="120"/>
      <c r="G17" s="120"/>
      <c r="H17" s="120"/>
      <c r="I17" s="120"/>
      <c r="J17" s="120"/>
      <c r="K17" s="120"/>
      <c r="L17" s="120"/>
      <c r="N17" s="97">
        <v>6</v>
      </c>
      <c r="O17" s="4" t="s">
        <v>13</v>
      </c>
      <c r="P17" s="117" t="s">
        <v>140</v>
      </c>
      <c r="Q17" s="117"/>
      <c r="R17" s="117"/>
      <c r="S17" s="117"/>
      <c r="T17" s="117"/>
      <c r="U17" s="117"/>
      <c r="V17" s="117"/>
      <c r="W17" s="117"/>
    </row>
    <row r="18" spans="3:23" ht="50.15" customHeight="1" x14ac:dyDescent="0.2">
      <c r="C18" s="95"/>
      <c r="D18" s="4" t="s">
        <v>16</v>
      </c>
      <c r="E18" s="102" t="s">
        <v>124</v>
      </c>
      <c r="F18" s="103"/>
      <c r="G18" s="103"/>
      <c r="H18" s="103"/>
      <c r="I18" s="103"/>
      <c r="J18" s="103"/>
      <c r="K18" s="103"/>
      <c r="L18" s="103"/>
      <c r="N18" s="97"/>
      <c r="O18" s="4" t="s">
        <v>16</v>
      </c>
      <c r="P18" s="112" t="s">
        <v>139</v>
      </c>
      <c r="Q18" s="113"/>
      <c r="R18" s="113"/>
      <c r="S18" s="113"/>
      <c r="T18" s="113"/>
      <c r="U18" s="113"/>
      <c r="V18" s="113"/>
      <c r="W18" s="113"/>
    </row>
    <row r="19" spans="3:23" ht="50.15" customHeight="1" x14ac:dyDescent="0.2">
      <c r="C19" s="95"/>
      <c r="D19" s="5" t="s">
        <v>14</v>
      </c>
      <c r="E19" s="103"/>
      <c r="F19" s="103"/>
      <c r="G19" s="103"/>
      <c r="H19" s="103"/>
      <c r="I19" s="103"/>
      <c r="J19" s="103"/>
      <c r="K19" s="103"/>
      <c r="L19" s="103"/>
      <c r="N19" s="97"/>
      <c r="O19" s="5" t="s">
        <v>14</v>
      </c>
      <c r="P19" s="113"/>
      <c r="Q19" s="113"/>
      <c r="R19" s="113"/>
      <c r="S19" s="113"/>
      <c r="T19" s="113"/>
      <c r="U19" s="113"/>
      <c r="V19" s="113"/>
      <c r="W19" s="113"/>
    </row>
    <row r="20" spans="3:23" x14ac:dyDescent="0.2">
      <c r="C20" s="95"/>
      <c r="D20" s="4"/>
      <c r="E20" s="6" t="s">
        <v>11</v>
      </c>
      <c r="F20" s="6" t="s">
        <v>5</v>
      </c>
      <c r="G20" s="6" t="s">
        <v>10</v>
      </c>
      <c r="H20" s="6" t="s">
        <v>6</v>
      </c>
      <c r="I20" s="6" t="s">
        <v>7</v>
      </c>
      <c r="J20" s="6" t="s">
        <v>8</v>
      </c>
      <c r="K20" s="6" t="s">
        <v>9</v>
      </c>
      <c r="L20" s="6" t="s">
        <v>12</v>
      </c>
      <c r="N20" s="97"/>
      <c r="O20" s="4"/>
      <c r="P20" s="6" t="s">
        <v>11</v>
      </c>
      <c r="Q20" s="6" t="s">
        <v>5</v>
      </c>
      <c r="R20" s="6" t="s">
        <v>10</v>
      </c>
      <c r="S20" s="6" t="s">
        <v>6</v>
      </c>
      <c r="T20" s="6" t="s">
        <v>7</v>
      </c>
      <c r="U20" s="6" t="s">
        <v>8</v>
      </c>
      <c r="V20" s="6" t="s">
        <v>9</v>
      </c>
      <c r="W20" s="6" t="s">
        <v>12</v>
      </c>
    </row>
    <row r="21" spans="3:23" x14ac:dyDescent="0.2">
      <c r="C21" s="95"/>
      <c r="D21" s="4"/>
      <c r="E21" s="17">
        <f>K21-(K21*0.1)-$I$3-G21</f>
        <v>3200</v>
      </c>
      <c r="F21" s="4">
        <v>24000</v>
      </c>
      <c r="G21" s="4">
        <v>19800</v>
      </c>
      <c r="H21" s="4">
        <v>39999</v>
      </c>
      <c r="I21" s="4">
        <v>29999</v>
      </c>
      <c r="J21" s="4">
        <v>5000</v>
      </c>
      <c r="K21" s="4">
        <v>26500</v>
      </c>
      <c r="L21" s="11">
        <f>(E21+G21)/G21</f>
        <v>1.1616161616161615</v>
      </c>
      <c r="N21" s="97"/>
      <c r="O21" s="4"/>
      <c r="P21" s="17">
        <f>V21-(V21*0.1)-$I$3-R21</f>
        <v>-2450</v>
      </c>
      <c r="Q21" s="4">
        <v>11000</v>
      </c>
      <c r="R21" s="4">
        <v>8800</v>
      </c>
      <c r="S21" s="4">
        <v>12000</v>
      </c>
      <c r="T21" s="4">
        <v>9999</v>
      </c>
      <c r="U21" s="4">
        <v>5000</v>
      </c>
      <c r="V21" s="4">
        <v>8000</v>
      </c>
      <c r="W21" s="11">
        <f>(P21+R21)/R21</f>
        <v>0.72159090909090906</v>
      </c>
    </row>
    <row r="22" spans="3:23" ht="32.5" x14ac:dyDescent="0.2">
      <c r="C22" s="8"/>
      <c r="N22" s="8"/>
    </row>
    <row r="23" spans="3:23" ht="19" x14ac:dyDescent="0.2">
      <c r="C23" s="109">
        <v>7</v>
      </c>
      <c r="D23" s="18" t="s">
        <v>13</v>
      </c>
      <c r="E23" s="116" t="s">
        <v>28</v>
      </c>
      <c r="F23" s="116"/>
      <c r="G23" s="116"/>
      <c r="H23" s="116"/>
      <c r="I23" s="116"/>
      <c r="J23" s="116"/>
      <c r="K23" s="116"/>
      <c r="L23" s="116"/>
      <c r="N23" s="104">
        <v>8</v>
      </c>
      <c r="O23" s="4" t="s">
        <v>13</v>
      </c>
      <c r="P23" s="111" t="s">
        <v>131</v>
      </c>
      <c r="Q23" s="111"/>
      <c r="R23" s="111"/>
      <c r="S23" s="111"/>
      <c r="T23" s="111"/>
      <c r="U23" s="111"/>
      <c r="V23" s="111"/>
      <c r="W23" s="111"/>
    </row>
    <row r="24" spans="3:23" ht="50.15" customHeight="1" x14ac:dyDescent="0.2">
      <c r="C24" s="109"/>
      <c r="D24" s="4" t="s">
        <v>16</v>
      </c>
      <c r="E24" s="112" t="s">
        <v>29</v>
      </c>
      <c r="F24" s="113"/>
      <c r="G24" s="113"/>
      <c r="H24" s="113"/>
      <c r="I24" s="113"/>
      <c r="J24" s="113"/>
      <c r="K24" s="113"/>
      <c r="L24" s="113"/>
      <c r="N24" s="104"/>
      <c r="O24" s="4" t="s">
        <v>16</v>
      </c>
      <c r="P24" s="112" t="s">
        <v>132</v>
      </c>
      <c r="Q24" s="113"/>
      <c r="R24" s="113"/>
      <c r="S24" s="113"/>
      <c r="T24" s="113"/>
      <c r="U24" s="113"/>
      <c r="V24" s="113"/>
      <c r="W24" s="113"/>
    </row>
    <row r="25" spans="3:23" ht="50.15" customHeight="1" x14ac:dyDescent="0.2">
      <c r="C25" s="109"/>
      <c r="D25" s="5" t="s">
        <v>14</v>
      </c>
      <c r="E25" s="113"/>
      <c r="F25" s="113"/>
      <c r="G25" s="113"/>
      <c r="H25" s="113"/>
      <c r="I25" s="113"/>
      <c r="J25" s="113"/>
      <c r="K25" s="113"/>
      <c r="L25" s="113"/>
      <c r="N25" s="104"/>
      <c r="O25" s="5" t="s">
        <v>14</v>
      </c>
      <c r="P25" s="113"/>
      <c r="Q25" s="113"/>
      <c r="R25" s="113"/>
      <c r="S25" s="113"/>
      <c r="T25" s="113"/>
      <c r="U25" s="113"/>
      <c r="V25" s="113"/>
      <c r="W25" s="113"/>
    </row>
    <row r="26" spans="3:23" x14ac:dyDescent="0.2">
      <c r="C26" s="109"/>
      <c r="D26" s="4"/>
      <c r="E26" s="6" t="s">
        <v>11</v>
      </c>
      <c r="F26" s="6" t="s">
        <v>5</v>
      </c>
      <c r="G26" s="6" t="s">
        <v>10</v>
      </c>
      <c r="H26" s="6" t="s">
        <v>6</v>
      </c>
      <c r="I26" s="6" t="s">
        <v>7</v>
      </c>
      <c r="J26" s="6" t="s">
        <v>8</v>
      </c>
      <c r="K26" s="6" t="s">
        <v>9</v>
      </c>
      <c r="L26" s="6" t="s">
        <v>12</v>
      </c>
      <c r="N26" s="104"/>
      <c r="O26" s="4"/>
      <c r="P26" s="6" t="s">
        <v>11</v>
      </c>
      <c r="Q26" s="6" t="s">
        <v>5</v>
      </c>
      <c r="R26" s="6" t="s">
        <v>10</v>
      </c>
      <c r="S26" s="6" t="s">
        <v>6</v>
      </c>
      <c r="T26" s="6" t="s">
        <v>7</v>
      </c>
      <c r="U26" s="6" t="s">
        <v>8</v>
      </c>
      <c r="V26" s="6" t="s">
        <v>9</v>
      </c>
      <c r="W26" s="6" t="s">
        <v>12</v>
      </c>
    </row>
    <row r="27" spans="3:23" x14ac:dyDescent="0.2">
      <c r="C27" s="109"/>
      <c r="D27" s="4"/>
      <c r="E27" s="12">
        <f>K27-(K27*0.1)-$G$3-G27</f>
        <v>1009.0999999999999</v>
      </c>
      <c r="F27" s="4">
        <v>24000</v>
      </c>
      <c r="G27" s="4">
        <v>1000</v>
      </c>
      <c r="H27" s="4">
        <v>4999</v>
      </c>
      <c r="I27" s="4" t="s">
        <v>34</v>
      </c>
      <c r="J27" s="4" t="s">
        <v>34</v>
      </c>
      <c r="K27" s="4">
        <v>2499</v>
      </c>
      <c r="L27" s="11">
        <f>(E27+G27)/G27</f>
        <v>2.0091000000000001</v>
      </c>
      <c r="N27" s="104"/>
      <c r="O27" s="4"/>
      <c r="P27" s="12">
        <f>V27-(V27*0.1)-$G$3-R27</f>
        <v>1149.1000000000004</v>
      </c>
      <c r="Q27" s="4">
        <v>11000</v>
      </c>
      <c r="R27" s="4">
        <v>7700</v>
      </c>
      <c r="S27" s="4">
        <v>12000</v>
      </c>
      <c r="T27" s="4">
        <v>14999</v>
      </c>
      <c r="U27" s="4">
        <v>5000</v>
      </c>
      <c r="V27" s="4">
        <v>10099</v>
      </c>
      <c r="W27" s="11">
        <f>(P27+R27)/R27</f>
        <v>1.1492337662337664</v>
      </c>
    </row>
    <row r="28" spans="3:23" ht="13.25" customHeight="1" x14ac:dyDescent="0.2">
      <c r="C28" s="8"/>
      <c r="N28" s="8"/>
    </row>
    <row r="29" spans="3:23" ht="19" x14ac:dyDescent="0.2">
      <c r="C29" s="107">
        <v>9</v>
      </c>
      <c r="D29" s="9" t="s">
        <v>13</v>
      </c>
      <c r="E29" s="115" t="s">
        <v>30</v>
      </c>
      <c r="F29" s="115"/>
      <c r="G29" s="115"/>
      <c r="H29" s="115"/>
      <c r="I29" s="115"/>
      <c r="J29" s="115"/>
      <c r="K29" s="115"/>
      <c r="L29" s="115"/>
      <c r="N29" s="108">
        <v>10</v>
      </c>
      <c r="O29" s="10" t="s">
        <v>13</v>
      </c>
      <c r="P29" s="116" t="s">
        <v>32</v>
      </c>
      <c r="Q29" s="116"/>
      <c r="R29" s="116"/>
      <c r="S29" s="116"/>
      <c r="T29" s="116"/>
      <c r="U29" s="116"/>
      <c r="V29" s="116"/>
      <c r="W29" s="116"/>
    </row>
    <row r="30" spans="3:23" ht="50.15" customHeight="1" x14ac:dyDescent="0.2">
      <c r="C30" s="107"/>
      <c r="D30" s="4" t="s">
        <v>16</v>
      </c>
      <c r="E30" s="112" t="s">
        <v>31</v>
      </c>
      <c r="F30" s="113"/>
      <c r="G30" s="113"/>
      <c r="H30" s="113"/>
      <c r="I30" s="113"/>
      <c r="J30" s="113"/>
      <c r="K30" s="113"/>
      <c r="L30" s="113"/>
      <c r="N30" s="108"/>
      <c r="O30" s="4" t="s">
        <v>16</v>
      </c>
      <c r="P30" s="112" t="s">
        <v>33</v>
      </c>
      <c r="Q30" s="113"/>
      <c r="R30" s="113"/>
      <c r="S30" s="113"/>
      <c r="T30" s="113"/>
      <c r="U30" s="113"/>
      <c r="V30" s="113"/>
      <c r="W30" s="113"/>
    </row>
    <row r="31" spans="3:23" ht="50.15" customHeight="1" x14ac:dyDescent="0.2">
      <c r="C31" s="107"/>
      <c r="D31" s="5" t="s">
        <v>14</v>
      </c>
      <c r="E31" s="113"/>
      <c r="F31" s="113"/>
      <c r="G31" s="113"/>
      <c r="H31" s="113"/>
      <c r="I31" s="113"/>
      <c r="J31" s="113"/>
      <c r="K31" s="113"/>
      <c r="L31" s="113"/>
      <c r="N31" s="108"/>
      <c r="O31" s="5" t="s">
        <v>14</v>
      </c>
      <c r="P31" s="113"/>
      <c r="Q31" s="113"/>
      <c r="R31" s="113"/>
      <c r="S31" s="113"/>
      <c r="T31" s="113"/>
      <c r="U31" s="113"/>
      <c r="V31" s="113"/>
      <c r="W31" s="113"/>
    </row>
    <row r="32" spans="3:23" x14ac:dyDescent="0.2">
      <c r="C32" s="107"/>
      <c r="D32" s="4"/>
      <c r="E32" s="6" t="s">
        <v>11</v>
      </c>
      <c r="F32" s="6" t="s">
        <v>5</v>
      </c>
      <c r="G32" s="6" t="s">
        <v>10</v>
      </c>
      <c r="H32" s="6" t="s">
        <v>6</v>
      </c>
      <c r="I32" s="6" t="s">
        <v>7</v>
      </c>
      <c r="J32" s="6" t="s">
        <v>8</v>
      </c>
      <c r="K32" s="6" t="s">
        <v>9</v>
      </c>
      <c r="L32" s="6" t="s">
        <v>12</v>
      </c>
      <c r="N32" s="108"/>
      <c r="O32" s="4"/>
      <c r="P32" s="6" t="s">
        <v>11</v>
      </c>
      <c r="Q32" s="6" t="s">
        <v>5</v>
      </c>
      <c r="R32" s="6" t="s">
        <v>10</v>
      </c>
      <c r="S32" s="6" t="s">
        <v>6</v>
      </c>
      <c r="T32" s="6" t="s">
        <v>7</v>
      </c>
      <c r="U32" s="6" t="s">
        <v>8</v>
      </c>
      <c r="V32" s="6" t="s">
        <v>9</v>
      </c>
      <c r="W32" s="6" t="s">
        <v>12</v>
      </c>
    </row>
    <row r="33" spans="3:23" x14ac:dyDescent="0.2">
      <c r="C33" s="107"/>
      <c r="D33" s="4"/>
      <c r="E33" s="12">
        <f>K33-(K33*0.1)-$G$3-G33</f>
        <v>1059.1000000000004</v>
      </c>
      <c r="F33" s="4">
        <v>9500</v>
      </c>
      <c r="G33" s="4">
        <v>5000</v>
      </c>
      <c r="H33" s="4">
        <v>9500</v>
      </c>
      <c r="I33" s="4">
        <v>8500</v>
      </c>
      <c r="J33" s="4">
        <v>5000</v>
      </c>
      <c r="K33" s="4">
        <v>6999</v>
      </c>
      <c r="L33" s="11">
        <f>(E33+G33)/G33</f>
        <v>1.2118200000000001</v>
      </c>
      <c r="N33" s="108"/>
      <c r="O33" s="4"/>
      <c r="P33" s="12">
        <f>V33-(V33*0.1)-$G$3-R33</f>
        <v>90</v>
      </c>
      <c r="Q33" s="4">
        <v>6000</v>
      </c>
      <c r="R33" s="4">
        <v>4620</v>
      </c>
      <c r="S33" s="4">
        <v>7500</v>
      </c>
      <c r="T33" s="4">
        <v>5850</v>
      </c>
      <c r="U33" s="4" t="s">
        <v>34</v>
      </c>
      <c r="V33" s="4">
        <v>5500</v>
      </c>
      <c r="W33" s="11">
        <f>(P33+R33)/R33</f>
        <v>1.0194805194805194</v>
      </c>
    </row>
    <row r="34" spans="3:23" ht="13.25" customHeight="1" x14ac:dyDescent="0.2">
      <c r="C34" s="8"/>
      <c r="N34" s="8"/>
    </row>
    <row r="35" spans="3:23" ht="19" x14ac:dyDescent="0.2">
      <c r="C35" s="95">
        <v>11</v>
      </c>
      <c r="D35" s="4" t="s">
        <v>13</v>
      </c>
      <c r="E35" s="114" t="s">
        <v>23</v>
      </c>
      <c r="F35" s="114"/>
      <c r="G35" s="114"/>
      <c r="H35" s="114"/>
      <c r="I35" s="114"/>
      <c r="J35" s="114"/>
      <c r="K35" s="114"/>
      <c r="L35" s="114"/>
      <c r="N35" s="97">
        <v>12</v>
      </c>
      <c r="O35" s="4" t="s">
        <v>13</v>
      </c>
      <c r="P35" s="99" t="s">
        <v>24</v>
      </c>
      <c r="Q35" s="99"/>
      <c r="R35" s="99"/>
      <c r="S35" s="99"/>
      <c r="T35" s="99"/>
      <c r="U35" s="99"/>
      <c r="V35" s="99"/>
      <c r="W35" s="99"/>
    </row>
    <row r="36" spans="3:23" ht="50.15" customHeight="1" x14ac:dyDescent="0.2">
      <c r="C36" s="95"/>
      <c r="D36" s="4" t="s">
        <v>16</v>
      </c>
      <c r="E36" s="102" t="s">
        <v>21</v>
      </c>
      <c r="F36" s="103"/>
      <c r="G36" s="103"/>
      <c r="H36" s="103"/>
      <c r="I36" s="103"/>
      <c r="J36" s="103"/>
      <c r="K36" s="103"/>
      <c r="L36" s="103"/>
      <c r="N36" s="98"/>
      <c r="O36" s="4" t="s">
        <v>16</v>
      </c>
      <c r="P36" s="102" t="s">
        <v>22</v>
      </c>
      <c r="Q36" s="103"/>
      <c r="R36" s="103"/>
      <c r="S36" s="103"/>
      <c r="T36" s="103"/>
      <c r="U36" s="103"/>
      <c r="V36" s="103"/>
      <c r="W36" s="103"/>
    </row>
    <row r="37" spans="3:23" ht="50.15" customHeight="1" x14ac:dyDescent="0.2">
      <c r="C37" s="95"/>
      <c r="D37" s="5" t="s">
        <v>14</v>
      </c>
      <c r="E37" s="103"/>
      <c r="F37" s="103"/>
      <c r="G37" s="103"/>
      <c r="H37" s="103"/>
      <c r="I37" s="103"/>
      <c r="J37" s="103"/>
      <c r="K37" s="103"/>
      <c r="L37" s="103"/>
      <c r="N37" s="98"/>
      <c r="O37" s="5" t="s">
        <v>14</v>
      </c>
      <c r="P37" s="103"/>
      <c r="Q37" s="103"/>
      <c r="R37" s="103"/>
      <c r="S37" s="103"/>
      <c r="T37" s="103"/>
      <c r="U37" s="103"/>
      <c r="V37" s="103"/>
      <c r="W37" s="103"/>
    </row>
    <row r="38" spans="3:23" x14ac:dyDescent="0.2">
      <c r="C38" s="95"/>
      <c r="D38" s="4"/>
      <c r="E38" s="6" t="s">
        <v>11</v>
      </c>
      <c r="F38" s="6" t="s">
        <v>5</v>
      </c>
      <c r="G38" s="6" t="s">
        <v>10</v>
      </c>
      <c r="H38" s="6" t="s">
        <v>6</v>
      </c>
      <c r="I38" s="6" t="s">
        <v>7</v>
      </c>
      <c r="J38" s="6" t="s">
        <v>8</v>
      </c>
      <c r="K38" s="6" t="s">
        <v>9</v>
      </c>
      <c r="L38" s="6" t="s">
        <v>12</v>
      </c>
      <c r="N38" s="98"/>
      <c r="O38" s="4"/>
      <c r="P38" s="6" t="s">
        <v>11</v>
      </c>
      <c r="Q38" s="6" t="s">
        <v>5</v>
      </c>
      <c r="R38" s="6" t="s">
        <v>10</v>
      </c>
      <c r="S38" s="6" t="s">
        <v>6</v>
      </c>
      <c r="T38" s="6" t="s">
        <v>7</v>
      </c>
      <c r="U38" s="6" t="s">
        <v>8</v>
      </c>
      <c r="V38" s="6" t="s">
        <v>9</v>
      </c>
      <c r="W38" s="6" t="s">
        <v>12</v>
      </c>
    </row>
    <row r="39" spans="3:23" x14ac:dyDescent="0.2">
      <c r="C39" s="95"/>
      <c r="D39" s="4"/>
      <c r="E39" s="4"/>
      <c r="F39" s="4">
        <v>6000</v>
      </c>
      <c r="G39" s="4">
        <v>4000</v>
      </c>
      <c r="H39" s="4">
        <v>12000</v>
      </c>
      <c r="I39" s="4">
        <v>9999</v>
      </c>
      <c r="J39" s="4">
        <v>5000</v>
      </c>
      <c r="K39" s="4">
        <v>0</v>
      </c>
      <c r="L39" s="11">
        <f>(E39+G39)/G39</f>
        <v>1</v>
      </c>
      <c r="N39" s="98"/>
      <c r="O39" s="4"/>
      <c r="P39" s="4"/>
      <c r="Q39" s="4">
        <v>1500</v>
      </c>
      <c r="R39" s="4">
        <v>500</v>
      </c>
      <c r="S39" s="4">
        <v>2999</v>
      </c>
      <c r="T39" s="4"/>
      <c r="U39" s="4"/>
      <c r="V39" s="4">
        <v>0</v>
      </c>
      <c r="W39" s="11">
        <f>(P39+R39)/R39</f>
        <v>1</v>
      </c>
    </row>
    <row r="41" spans="3:23" ht="19" x14ac:dyDescent="0.2">
      <c r="C41" s="109">
        <v>13</v>
      </c>
      <c r="D41" s="4" t="s">
        <v>13</v>
      </c>
      <c r="E41" s="114" t="s">
        <v>25</v>
      </c>
      <c r="F41" s="114"/>
      <c r="G41" s="114"/>
      <c r="H41" s="114"/>
      <c r="I41" s="114"/>
      <c r="J41" s="114"/>
      <c r="K41" s="114"/>
      <c r="L41" s="114"/>
      <c r="N41" s="104">
        <v>14</v>
      </c>
      <c r="O41" s="4" t="s">
        <v>13</v>
      </c>
      <c r="P41" s="111" t="s">
        <v>137</v>
      </c>
      <c r="Q41" s="111"/>
      <c r="R41" s="111"/>
      <c r="S41" s="111"/>
      <c r="T41" s="111"/>
      <c r="U41" s="111"/>
      <c r="V41" s="111"/>
      <c r="W41" s="111"/>
    </row>
    <row r="42" spans="3:23" ht="50.15" customHeight="1" x14ac:dyDescent="0.2">
      <c r="C42" s="109"/>
      <c r="D42" s="4" t="s">
        <v>16</v>
      </c>
      <c r="E42" s="102"/>
      <c r="F42" s="103"/>
      <c r="G42" s="103"/>
      <c r="H42" s="103"/>
      <c r="I42" s="103"/>
      <c r="J42" s="103"/>
      <c r="K42" s="103"/>
      <c r="L42" s="103"/>
      <c r="N42" s="104"/>
      <c r="O42" s="4" t="s">
        <v>16</v>
      </c>
      <c r="P42" s="112" t="s">
        <v>138</v>
      </c>
      <c r="Q42" s="113"/>
      <c r="R42" s="113"/>
      <c r="S42" s="113"/>
      <c r="T42" s="113"/>
      <c r="U42" s="113"/>
      <c r="V42" s="113"/>
      <c r="W42" s="113"/>
    </row>
    <row r="43" spans="3:23" ht="50.15" customHeight="1" x14ac:dyDescent="0.2">
      <c r="C43" s="109"/>
      <c r="D43" s="5" t="s">
        <v>14</v>
      </c>
      <c r="E43" s="103"/>
      <c r="F43" s="103"/>
      <c r="G43" s="103"/>
      <c r="H43" s="103"/>
      <c r="I43" s="103"/>
      <c r="J43" s="103"/>
      <c r="K43" s="103"/>
      <c r="L43" s="103"/>
      <c r="N43" s="104"/>
      <c r="O43" s="5" t="s">
        <v>14</v>
      </c>
      <c r="P43" s="113"/>
      <c r="Q43" s="113"/>
      <c r="R43" s="113"/>
      <c r="S43" s="113"/>
      <c r="T43" s="113"/>
      <c r="U43" s="113"/>
      <c r="V43" s="113"/>
      <c r="W43" s="113"/>
    </row>
    <row r="44" spans="3:23" x14ac:dyDescent="0.2">
      <c r="C44" s="109"/>
      <c r="D44" s="4"/>
      <c r="E44" s="6" t="s">
        <v>11</v>
      </c>
      <c r="F44" s="6" t="s">
        <v>5</v>
      </c>
      <c r="G44" s="6" t="s">
        <v>10</v>
      </c>
      <c r="H44" s="6" t="s">
        <v>6</v>
      </c>
      <c r="I44" s="6" t="s">
        <v>7</v>
      </c>
      <c r="J44" s="6" t="s">
        <v>8</v>
      </c>
      <c r="K44" s="6" t="s">
        <v>9</v>
      </c>
      <c r="L44" s="6" t="s">
        <v>12</v>
      </c>
      <c r="N44" s="104"/>
      <c r="O44" s="4"/>
      <c r="P44" s="6" t="s">
        <v>11</v>
      </c>
      <c r="Q44" s="6" t="s">
        <v>5</v>
      </c>
      <c r="R44" s="6" t="s">
        <v>10</v>
      </c>
      <c r="S44" s="6" t="s">
        <v>6</v>
      </c>
      <c r="T44" s="6" t="s">
        <v>7</v>
      </c>
      <c r="U44" s="6" t="s">
        <v>8</v>
      </c>
      <c r="V44" s="6" t="s">
        <v>9</v>
      </c>
      <c r="W44" s="6" t="s">
        <v>12</v>
      </c>
    </row>
    <row r="45" spans="3:23" x14ac:dyDescent="0.2">
      <c r="C45" s="109"/>
      <c r="D45" s="4"/>
      <c r="E45" s="12"/>
      <c r="F45" s="4">
        <v>5500</v>
      </c>
      <c r="G45" s="4">
        <v>1000</v>
      </c>
      <c r="H45" s="4"/>
      <c r="I45" s="4"/>
      <c r="J45" s="4"/>
      <c r="K45" s="4"/>
      <c r="L45" s="11">
        <f>(E45+G45)/G45</f>
        <v>1</v>
      </c>
      <c r="N45" s="104"/>
      <c r="O45" s="4"/>
      <c r="P45" s="12">
        <f>V45-(V45*0.1)-$G$3-R45</f>
        <v>-2010.8999999999996</v>
      </c>
      <c r="Q45" s="4">
        <v>8000</v>
      </c>
      <c r="R45" s="4">
        <v>6000</v>
      </c>
      <c r="S45" s="4">
        <v>7800</v>
      </c>
      <c r="T45" s="4">
        <v>6999</v>
      </c>
      <c r="U45" s="4">
        <v>5000</v>
      </c>
      <c r="V45" s="4">
        <v>4699</v>
      </c>
      <c r="W45" s="11">
        <f>(P45+R45)/R45</f>
        <v>0.66485000000000005</v>
      </c>
    </row>
    <row r="46" spans="3:23" ht="32.5" x14ac:dyDescent="0.2">
      <c r="C46" s="8"/>
      <c r="N46" s="8"/>
    </row>
    <row r="47" spans="3:23" ht="19" x14ac:dyDescent="0.2">
      <c r="C47" s="107">
        <v>15</v>
      </c>
      <c r="D47" s="9" t="s">
        <v>13</v>
      </c>
      <c r="E47" s="114" t="s">
        <v>27</v>
      </c>
      <c r="F47" s="114"/>
      <c r="G47" s="114"/>
      <c r="H47" s="114"/>
      <c r="I47" s="114"/>
      <c r="J47" s="114"/>
      <c r="K47" s="114"/>
      <c r="L47" s="114"/>
      <c r="N47" s="108">
        <v>16</v>
      </c>
      <c r="O47" s="4" t="s">
        <v>13</v>
      </c>
      <c r="P47" s="114" t="s">
        <v>26</v>
      </c>
      <c r="Q47" s="114"/>
      <c r="R47" s="114"/>
      <c r="S47" s="114"/>
      <c r="T47" s="114"/>
      <c r="U47" s="114"/>
      <c r="V47" s="114"/>
      <c r="W47" s="114"/>
    </row>
    <row r="48" spans="3:23" ht="50.15" customHeight="1" x14ac:dyDescent="0.2">
      <c r="C48" s="107"/>
      <c r="D48" s="4" t="s">
        <v>16</v>
      </c>
      <c r="E48" s="102"/>
      <c r="F48" s="103"/>
      <c r="G48" s="103"/>
      <c r="H48" s="103"/>
      <c r="I48" s="103"/>
      <c r="J48" s="103"/>
      <c r="K48" s="103"/>
      <c r="L48" s="103"/>
      <c r="N48" s="108"/>
      <c r="O48" s="4" t="s">
        <v>16</v>
      </c>
      <c r="P48" s="102"/>
      <c r="Q48" s="103"/>
      <c r="R48" s="103"/>
      <c r="S48" s="103"/>
      <c r="T48" s="103"/>
      <c r="U48" s="103"/>
      <c r="V48" s="103"/>
      <c r="W48" s="103"/>
    </row>
    <row r="49" spans="3:23" ht="50.15" customHeight="1" x14ac:dyDescent="0.2">
      <c r="C49" s="107"/>
      <c r="D49" s="5" t="s">
        <v>14</v>
      </c>
      <c r="E49" s="103"/>
      <c r="F49" s="103"/>
      <c r="G49" s="103"/>
      <c r="H49" s="103"/>
      <c r="I49" s="103"/>
      <c r="J49" s="103"/>
      <c r="K49" s="103"/>
      <c r="L49" s="103"/>
      <c r="N49" s="108"/>
      <c r="O49" s="5" t="s">
        <v>14</v>
      </c>
      <c r="P49" s="103"/>
      <c r="Q49" s="103"/>
      <c r="R49" s="103"/>
      <c r="S49" s="103"/>
      <c r="T49" s="103"/>
      <c r="U49" s="103"/>
      <c r="V49" s="103"/>
      <c r="W49" s="103"/>
    </row>
    <row r="50" spans="3:23" x14ac:dyDescent="0.2">
      <c r="C50" s="107"/>
      <c r="D50" s="4"/>
      <c r="E50" s="6" t="s">
        <v>11</v>
      </c>
      <c r="F50" s="6" t="s">
        <v>5</v>
      </c>
      <c r="G50" s="6" t="s">
        <v>10</v>
      </c>
      <c r="H50" s="6" t="s">
        <v>6</v>
      </c>
      <c r="I50" s="6" t="s">
        <v>7</v>
      </c>
      <c r="J50" s="6" t="s">
        <v>8</v>
      </c>
      <c r="K50" s="6" t="s">
        <v>9</v>
      </c>
      <c r="L50" s="6" t="s">
        <v>12</v>
      </c>
      <c r="N50" s="108"/>
      <c r="O50" s="4"/>
      <c r="P50" s="6" t="s">
        <v>11</v>
      </c>
      <c r="Q50" s="6" t="s">
        <v>5</v>
      </c>
      <c r="R50" s="6" t="s">
        <v>10</v>
      </c>
      <c r="S50" s="6" t="s">
        <v>6</v>
      </c>
      <c r="T50" s="6" t="s">
        <v>7</v>
      </c>
      <c r="U50" s="6" t="s">
        <v>8</v>
      </c>
      <c r="V50" s="6" t="s">
        <v>9</v>
      </c>
      <c r="W50" s="6" t="s">
        <v>12</v>
      </c>
    </row>
    <row r="51" spans="3:23" x14ac:dyDescent="0.2">
      <c r="C51" s="107"/>
      <c r="D51" s="4"/>
      <c r="E51" s="4"/>
      <c r="F51" s="4">
        <v>2000</v>
      </c>
      <c r="G51" s="4">
        <v>1000</v>
      </c>
      <c r="H51" s="4"/>
      <c r="I51" s="4"/>
      <c r="J51" s="4"/>
      <c r="K51" s="4">
        <v>0</v>
      </c>
      <c r="L51" s="11">
        <f>(E51+G51)/G51</f>
        <v>1</v>
      </c>
      <c r="N51" s="108"/>
      <c r="O51" s="4"/>
      <c r="P51" s="4"/>
      <c r="Q51" s="4">
        <v>2000</v>
      </c>
      <c r="R51" s="4">
        <v>1000</v>
      </c>
      <c r="S51" s="4"/>
      <c r="T51" s="4"/>
      <c r="U51" s="4"/>
      <c r="V51" s="4">
        <v>0</v>
      </c>
      <c r="W51" s="11">
        <f>(P51+R51)/R51</f>
        <v>1</v>
      </c>
    </row>
    <row r="52" spans="3:23" ht="13.25" customHeight="1" x14ac:dyDescent="0.2">
      <c r="C52" s="8"/>
      <c r="N52" s="8"/>
    </row>
    <row r="53" spans="3:23" ht="19" x14ac:dyDescent="0.2">
      <c r="C53" s="109">
        <v>17</v>
      </c>
      <c r="D53" s="18" t="s">
        <v>13</v>
      </c>
      <c r="E53" s="115" t="s">
        <v>42</v>
      </c>
      <c r="F53" s="115"/>
      <c r="G53" s="115"/>
      <c r="H53" s="115"/>
      <c r="I53" s="115"/>
      <c r="J53" s="115"/>
      <c r="K53" s="115"/>
      <c r="L53" s="115"/>
      <c r="N53" s="104">
        <v>18</v>
      </c>
      <c r="O53" s="4" t="s">
        <v>13</v>
      </c>
      <c r="P53" s="106" t="s">
        <v>120</v>
      </c>
      <c r="Q53" s="106"/>
      <c r="R53" s="106"/>
      <c r="S53" s="106"/>
      <c r="T53" s="106"/>
      <c r="U53" s="106"/>
      <c r="V53" s="106"/>
      <c r="W53" s="106"/>
    </row>
    <row r="54" spans="3:23" ht="50" customHeight="1" x14ac:dyDescent="0.2">
      <c r="C54" s="109"/>
      <c r="D54" s="59" t="s">
        <v>16</v>
      </c>
      <c r="E54" s="112"/>
      <c r="F54" s="113"/>
      <c r="G54" s="113"/>
      <c r="H54" s="113"/>
      <c r="I54" s="113"/>
      <c r="J54" s="113"/>
      <c r="K54" s="113"/>
      <c r="L54" s="113"/>
      <c r="N54" s="104"/>
      <c r="O54" s="4" t="s">
        <v>16</v>
      </c>
      <c r="P54" s="102" t="s">
        <v>121</v>
      </c>
      <c r="Q54" s="103"/>
      <c r="R54" s="103"/>
      <c r="S54" s="103"/>
      <c r="T54" s="103"/>
      <c r="U54" s="103"/>
      <c r="V54" s="103"/>
      <c r="W54" s="103"/>
    </row>
    <row r="55" spans="3:23" ht="50" customHeight="1" x14ac:dyDescent="0.2">
      <c r="C55" s="109"/>
      <c r="D55" s="60" t="s">
        <v>14</v>
      </c>
      <c r="E55" s="113"/>
      <c r="F55" s="113"/>
      <c r="G55" s="113"/>
      <c r="H55" s="113"/>
      <c r="I55" s="113"/>
      <c r="J55" s="113"/>
      <c r="K55" s="113"/>
      <c r="L55" s="113"/>
      <c r="N55" s="104"/>
      <c r="O55" s="5" t="s">
        <v>14</v>
      </c>
      <c r="P55" s="103"/>
      <c r="Q55" s="103"/>
      <c r="R55" s="103"/>
      <c r="S55" s="103"/>
      <c r="T55" s="103"/>
      <c r="U55" s="103"/>
      <c r="V55" s="103"/>
      <c r="W55" s="103"/>
    </row>
    <row r="56" spans="3:23" x14ac:dyDescent="0.2">
      <c r="C56" s="109"/>
      <c r="D56" s="4"/>
      <c r="E56" s="6" t="s">
        <v>4</v>
      </c>
      <c r="F56" s="6" t="s">
        <v>5</v>
      </c>
      <c r="G56" s="6" t="s">
        <v>10</v>
      </c>
      <c r="H56" s="6" t="s">
        <v>6</v>
      </c>
      <c r="I56" s="6" t="s">
        <v>7</v>
      </c>
      <c r="J56" s="6" t="s">
        <v>8</v>
      </c>
      <c r="K56" s="6" t="s">
        <v>9</v>
      </c>
      <c r="L56" s="6" t="s">
        <v>0</v>
      </c>
      <c r="N56" s="104"/>
      <c r="O56" s="4"/>
      <c r="P56" s="6" t="s">
        <v>4</v>
      </c>
      <c r="Q56" s="6" t="s">
        <v>5</v>
      </c>
      <c r="R56" s="6" t="s">
        <v>10</v>
      </c>
      <c r="S56" s="6" t="s">
        <v>6</v>
      </c>
      <c r="T56" s="6" t="s">
        <v>7</v>
      </c>
      <c r="U56" s="6" t="s">
        <v>8</v>
      </c>
      <c r="V56" s="6" t="s">
        <v>9</v>
      </c>
      <c r="W56" s="6" t="s">
        <v>0</v>
      </c>
    </row>
    <row r="57" spans="3:23" x14ac:dyDescent="0.2">
      <c r="C57" s="109"/>
      <c r="D57" s="4"/>
      <c r="E57" s="12">
        <f>K57-(K57*0.1)-$G$3-G57</f>
        <v>3259.1000000000004</v>
      </c>
      <c r="F57" s="4">
        <v>7000</v>
      </c>
      <c r="G57" s="4">
        <v>1000</v>
      </c>
      <c r="H57" s="4"/>
      <c r="I57" s="4"/>
      <c r="J57" s="4"/>
      <c r="K57" s="4">
        <v>4999</v>
      </c>
      <c r="L57" s="11">
        <f>(E57+G57)/G57</f>
        <v>4.2591000000000001</v>
      </c>
      <c r="N57" s="104"/>
      <c r="O57" s="4"/>
      <c r="P57" s="12"/>
      <c r="Q57" s="4">
        <v>5000</v>
      </c>
      <c r="R57" s="4">
        <v>100</v>
      </c>
      <c r="S57" s="4">
        <v>2999</v>
      </c>
      <c r="T57" s="4"/>
      <c r="U57" s="4"/>
      <c r="V57" s="4"/>
      <c r="W57" s="11">
        <f>(P57+R57)/R57</f>
        <v>1</v>
      </c>
    </row>
    <row r="58" spans="3:23" ht="13.25" customHeight="1" x14ac:dyDescent="0.2">
      <c r="C58" s="8"/>
      <c r="N58" s="8"/>
    </row>
    <row r="59" spans="3:23" ht="19" x14ac:dyDescent="0.2">
      <c r="C59" s="107">
        <v>19</v>
      </c>
      <c r="D59" s="9" t="s">
        <v>13</v>
      </c>
      <c r="E59" s="111" t="s">
        <v>127</v>
      </c>
      <c r="F59" s="111"/>
      <c r="G59" s="111"/>
      <c r="H59" s="111"/>
      <c r="I59" s="111"/>
      <c r="J59" s="111"/>
      <c r="K59" s="111"/>
      <c r="L59" s="111"/>
      <c r="N59" s="108">
        <v>20</v>
      </c>
      <c r="O59" s="59" t="s">
        <v>13</v>
      </c>
      <c r="P59" s="111" t="s">
        <v>122</v>
      </c>
      <c r="Q59" s="111"/>
      <c r="R59" s="111"/>
      <c r="S59" s="111"/>
      <c r="T59" s="111"/>
      <c r="U59" s="111"/>
      <c r="V59" s="111"/>
      <c r="W59" s="111"/>
    </row>
    <row r="60" spans="3:23" ht="50" customHeight="1" x14ac:dyDescent="0.2">
      <c r="C60" s="107"/>
      <c r="D60" s="4" t="s">
        <v>16</v>
      </c>
      <c r="E60" s="112" t="s">
        <v>128</v>
      </c>
      <c r="F60" s="113"/>
      <c r="G60" s="113"/>
      <c r="H60" s="113"/>
      <c r="I60" s="113"/>
      <c r="J60" s="113"/>
      <c r="K60" s="113"/>
      <c r="L60" s="113"/>
      <c r="N60" s="108"/>
      <c r="O60" s="59" t="s">
        <v>16</v>
      </c>
      <c r="P60" s="112" t="s">
        <v>123</v>
      </c>
      <c r="Q60" s="113"/>
      <c r="R60" s="113"/>
      <c r="S60" s="113"/>
      <c r="T60" s="113"/>
      <c r="U60" s="113"/>
      <c r="V60" s="113"/>
      <c r="W60" s="113"/>
    </row>
    <row r="61" spans="3:23" ht="50" customHeight="1" x14ac:dyDescent="0.2">
      <c r="C61" s="107"/>
      <c r="D61" s="5" t="s">
        <v>14</v>
      </c>
      <c r="E61" s="113"/>
      <c r="F61" s="113"/>
      <c r="G61" s="113"/>
      <c r="H61" s="113"/>
      <c r="I61" s="113"/>
      <c r="J61" s="113"/>
      <c r="K61" s="113"/>
      <c r="L61" s="113"/>
      <c r="N61" s="108"/>
      <c r="O61" s="60" t="s">
        <v>14</v>
      </c>
      <c r="P61" s="113"/>
      <c r="Q61" s="113"/>
      <c r="R61" s="113"/>
      <c r="S61" s="113"/>
      <c r="T61" s="113"/>
      <c r="U61" s="113"/>
      <c r="V61" s="113"/>
      <c r="W61" s="113"/>
    </row>
    <row r="62" spans="3:23" x14ac:dyDescent="0.2">
      <c r="C62" s="107"/>
      <c r="D62" s="4"/>
      <c r="E62" s="6" t="s">
        <v>4</v>
      </c>
      <c r="F62" s="6" t="s">
        <v>5</v>
      </c>
      <c r="G62" s="6" t="s">
        <v>10</v>
      </c>
      <c r="H62" s="6" t="s">
        <v>6</v>
      </c>
      <c r="I62" s="6" t="s">
        <v>7</v>
      </c>
      <c r="J62" s="6" t="s">
        <v>8</v>
      </c>
      <c r="K62" s="6" t="s">
        <v>9</v>
      </c>
      <c r="L62" s="6" t="s">
        <v>0</v>
      </c>
      <c r="N62" s="108"/>
      <c r="O62" s="4"/>
      <c r="P62" s="6" t="s">
        <v>4</v>
      </c>
      <c r="Q62" s="6" t="s">
        <v>5</v>
      </c>
      <c r="R62" s="6" t="s">
        <v>10</v>
      </c>
      <c r="S62" s="6" t="s">
        <v>6</v>
      </c>
      <c r="T62" s="6" t="s">
        <v>7</v>
      </c>
      <c r="U62" s="6" t="s">
        <v>8</v>
      </c>
      <c r="V62" s="6" t="s">
        <v>9</v>
      </c>
      <c r="W62" s="6" t="s">
        <v>0</v>
      </c>
    </row>
    <row r="63" spans="3:23" x14ac:dyDescent="0.2">
      <c r="C63" s="107"/>
      <c r="D63" s="4"/>
      <c r="E63" s="12">
        <f>K63-(K63*0.1)-$G$3-G63</f>
        <v>-230.89999999999964</v>
      </c>
      <c r="F63" s="4">
        <v>9000</v>
      </c>
      <c r="G63" s="4">
        <v>4400</v>
      </c>
      <c r="H63" s="4">
        <v>9000</v>
      </c>
      <c r="I63" s="4">
        <v>3000</v>
      </c>
      <c r="J63" s="4">
        <v>2000</v>
      </c>
      <c r="K63" s="4">
        <v>4899</v>
      </c>
      <c r="L63" s="11">
        <f>(E63+G63)/G63</f>
        <v>0.94752272727272735</v>
      </c>
      <c r="N63" s="108"/>
      <c r="O63" s="4"/>
      <c r="P63" s="12">
        <f>V63-(V63*0.1)-$G$3-R63</f>
        <v>1009.0999999999999</v>
      </c>
      <c r="Q63" s="4">
        <v>3000</v>
      </c>
      <c r="R63" s="4">
        <v>1000</v>
      </c>
      <c r="S63" s="4">
        <v>3999</v>
      </c>
      <c r="T63" s="4">
        <v>2500</v>
      </c>
      <c r="U63" s="4">
        <v>1000</v>
      </c>
      <c r="V63" s="4">
        <v>2499</v>
      </c>
      <c r="W63" s="11">
        <f>(P63+R63)/R63</f>
        <v>2.0091000000000001</v>
      </c>
    </row>
    <row r="64" spans="3:23" ht="13.25" customHeight="1" x14ac:dyDescent="0.2">
      <c r="C64" s="8"/>
      <c r="N64" s="8"/>
    </row>
    <row r="65" spans="3:23" ht="19" x14ac:dyDescent="0.2">
      <c r="C65" s="95">
        <v>21</v>
      </c>
      <c r="D65" s="4" t="s">
        <v>13</v>
      </c>
      <c r="E65" s="114" t="s">
        <v>129</v>
      </c>
      <c r="F65" s="114"/>
      <c r="G65" s="114"/>
      <c r="H65" s="114"/>
      <c r="I65" s="114"/>
      <c r="J65" s="114"/>
      <c r="K65" s="114"/>
      <c r="L65" s="114"/>
      <c r="N65" s="97">
        <v>22</v>
      </c>
      <c r="O65" s="4" t="s">
        <v>13</v>
      </c>
      <c r="P65" s="99" t="s">
        <v>136</v>
      </c>
      <c r="Q65" s="99"/>
      <c r="R65" s="99"/>
      <c r="S65" s="99"/>
      <c r="T65" s="99"/>
      <c r="U65" s="99"/>
      <c r="V65" s="99"/>
      <c r="W65" s="99"/>
    </row>
    <row r="66" spans="3:23" ht="50" customHeight="1" x14ac:dyDescent="0.2">
      <c r="C66" s="95"/>
      <c r="D66" s="4" t="s">
        <v>16</v>
      </c>
      <c r="E66" s="102" t="s">
        <v>130</v>
      </c>
      <c r="F66" s="103"/>
      <c r="G66" s="103"/>
      <c r="H66" s="103"/>
      <c r="I66" s="103"/>
      <c r="J66" s="103"/>
      <c r="K66" s="103"/>
      <c r="L66" s="103"/>
      <c r="N66" s="98"/>
      <c r="O66" s="4" t="s">
        <v>16</v>
      </c>
      <c r="P66" s="102" t="s">
        <v>265</v>
      </c>
      <c r="Q66" s="103"/>
      <c r="R66" s="103"/>
      <c r="S66" s="103"/>
      <c r="T66" s="103"/>
      <c r="U66" s="103"/>
      <c r="V66" s="103"/>
      <c r="W66" s="103"/>
    </row>
    <row r="67" spans="3:23" ht="50" customHeight="1" x14ac:dyDescent="0.2">
      <c r="C67" s="95"/>
      <c r="D67" s="5" t="s">
        <v>14</v>
      </c>
      <c r="E67" s="103"/>
      <c r="F67" s="103"/>
      <c r="G67" s="103"/>
      <c r="H67" s="103"/>
      <c r="I67" s="103"/>
      <c r="J67" s="103"/>
      <c r="K67" s="103"/>
      <c r="L67" s="103"/>
      <c r="N67" s="98"/>
      <c r="O67" s="5" t="s">
        <v>14</v>
      </c>
      <c r="P67" s="103"/>
      <c r="Q67" s="103"/>
      <c r="R67" s="103"/>
      <c r="S67" s="103"/>
      <c r="T67" s="103"/>
      <c r="U67" s="103"/>
      <c r="V67" s="103"/>
      <c r="W67" s="103"/>
    </row>
    <row r="68" spans="3:23" x14ac:dyDescent="0.2">
      <c r="C68" s="95"/>
      <c r="D68" s="4"/>
      <c r="E68" s="6" t="s">
        <v>4</v>
      </c>
      <c r="F68" s="6" t="s">
        <v>5</v>
      </c>
      <c r="G68" s="6" t="s">
        <v>10</v>
      </c>
      <c r="H68" s="6" t="s">
        <v>6</v>
      </c>
      <c r="I68" s="6" t="s">
        <v>7</v>
      </c>
      <c r="J68" s="6" t="s">
        <v>8</v>
      </c>
      <c r="K68" s="6" t="s">
        <v>9</v>
      </c>
      <c r="L68" s="6" t="s">
        <v>0</v>
      </c>
      <c r="N68" s="98"/>
      <c r="O68" s="4"/>
      <c r="P68" s="6" t="s">
        <v>4</v>
      </c>
      <c r="Q68" s="6" t="s">
        <v>5</v>
      </c>
      <c r="R68" s="6" t="s">
        <v>10</v>
      </c>
      <c r="S68" s="6" t="s">
        <v>6</v>
      </c>
      <c r="T68" s="6" t="s">
        <v>7</v>
      </c>
      <c r="U68" s="6" t="s">
        <v>8</v>
      </c>
      <c r="V68" s="6" t="s">
        <v>9</v>
      </c>
      <c r="W68" s="6" t="s">
        <v>0</v>
      </c>
    </row>
    <row r="69" spans="3:23" x14ac:dyDescent="0.2">
      <c r="C69" s="95"/>
      <c r="D69" s="4"/>
      <c r="E69" s="12"/>
      <c r="F69" s="4">
        <v>9420</v>
      </c>
      <c r="G69" s="4">
        <v>5610</v>
      </c>
      <c r="H69" s="4">
        <v>9999</v>
      </c>
      <c r="I69" s="4">
        <v>8800</v>
      </c>
      <c r="J69" s="4">
        <v>5000</v>
      </c>
      <c r="K69" s="4"/>
      <c r="L69" s="11">
        <f>(E69+G69)/G69</f>
        <v>1</v>
      </c>
      <c r="N69" s="98"/>
      <c r="O69" s="4"/>
      <c r="P69" s="4"/>
      <c r="Q69" s="4">
        <v>0</v>
      </c>
      <c r="R69" s="4">
        <v>0</v>
      </c>
      <c r="S69" s="4">
        <v>0</v>
      </c>
      <c r="T69" s="4">
        <v>0</v>
      </c>
      <c r="U69" s="4">
        <v>0</v>
      </c>
      <c r="V69" s="4">
        <v>0</v>
      </c>
      <c r="W69" s="11" t="e">
        <f>(P69+R69)/R69</f>
        <v>#DIV/0!</v>
      </c>
    </row>
    <row r="71" spans="3:23" ht="19" x14ac:dyDescent="0.2">
      <c r="C71" s="109">
        <v>23</v>
      </c>
      <c r="D71" s="4" t="s">
        <v>13</v>
      </c>
      <c r="E71" s="114" t="s">
        <v>143</v>
      </c>
      <c r="F71" s="114"/>
      <c r="G71" s="114"/>
      <c r="H71" s="114"/>
      <c r="I71" s="114"/>
      <c r="J71" s="114"/>
      <c r="K71" s="114"/>
      <c r="L71" s="114"/>
      <c r="N71" s="104">
        <v>24</v>
      </c>
      <c r="O71" s="4" t="s">
        <v>13</v>
      </c>
      <c r="P71" s="111" t="s">
        <v>144</v>
      </c>
      <c r="Q71" s="111"/>
      <c r="R71" s="111"/>
      <c r="S71" s="111"/>
      <c r="T71" s="111"/>
      <c r="U71" s="111"/>
      <c r="V71" s="111"/>
      <c r="W71" s="111"/>
    </row>
    <row r="72" spans="3:23" ht="50" customHeight="1" x14ac:dyDescent="0.2">
      <c r="C72" s="109"/>
      <c r="D72" s="4" t="s">
        <v>16</v>
      </c>
      <c r="E72" s="102" t="s">
        <v>264</v>
      </c>
      <c r="F72" s="103"/>
      <c r="G72" s="103"/>
      <c r="H72" s="103"/>
      <c r="I72" s="103"/>
      <c r="J72" s="103"/>
      <c r="K72" s="103"/>
      <c r="L72" s="103"/>
      <c r="N72" s="104"/>
      <c r="O72" s="4" t="s">
        <v>16</v>
      </c>
      <c r="P72" s="112" t="s">
        <v>145</v>
      </c>
      <c r="Q72" s="113"/>
      <c r="R72" s="113"/>
      <c r="S72" s="113"/>
      <c r="T72" s="113"/>
      <c r="U72" s="113"/>
      <c r="V72" s="113"/>
      <c r="W72" s="113"/>
    </row>
    <row r="73" spans="3:23" ht="50" customHeight="1" x14ac:dyDescent="0.2">
      <c r="C73" s="109"/>
      <c r="D73" s="5" t="s">
        <v>14</v>
      </c>
      <c r="E73" s="103"/>
      <c r="F73" s="103"/>
      <c r="G73" s="103"/>
      <c r="H73" s="103"/>
      <c r="I73" s="103"/>
      <c r="J73" s="103"/>
      <c r="K73" s="103"/>
      <c r="L73" s="103"/>
      <c r="N73" s="104"/>
      <c r="O73" s="5" t="s">
        <v>14</v>
      </c>
      <c r="P73" s="113"/>
      <c r="Q73" s="113"/>
      <c r="R73" s="113"/>
      <c r="S73" s="113"/>
      <c r="T73" s="113"/>
      <c r="U73" s="113"/>
      <c r="V73" s="113"/>
      <c r="W73" s="113"/>
    </row>
    <row r="74" spans="3:23" x14ac:dyDescent="0.2">
      <c r="C74" s="109"/>
      <c r="D74" s="4"/>
      <c r="E74" s="6" t="s">
        <v>4</v>
      </c>
      <c r="F74" s="6" t="s">
        <v>5</v>
      </c>
      <c r="G74" s="6" t="s">
        <v>10</v>
      </c>
      <c r="H74" s="6" t="s">
        <v>6</v>
      </c>
      <c r="I74" s="6" t="s">
        <v>7</v>
      </c>
      <c r="J74" s="6" t="s">
        <v>8</v>
      </c>
      <c r="K74" s="6" t="s">
        <v>9</v>
      </c>
      <c r="L74" s="6" t="s">
        <v>0</v>
      </c>
      <c r="N74" s="104"/>
      <c r="O74" s="4"/>
      <c r="P74" s="6" t="s">
        <v>4</v>
      </c>
      <c r="Q74" s="6" t="s">
        <v>5</v>
      </c>
      <c r="R74" s="6" t="s">
        <v>10</v>
      </c>
      <c r="S74" s="6" t="s">
        <v>6</v>
      </c>
      <c r="T74" s="6" t="s">
        <v>7</v>
      </c>
      <c r="U74" s="6" t="s">
        <v>8</v>
      </c>
      <c r="V74" s="6" t="s">
        <v>9</v>
      </c>
      <c r="W74" s="6" t="s">
        <v>0</v>
      </c>
    </row>
    <row r="75" spans="3:23" x14ac:dyDescent="0.2">
      <c r="C75" s="109"/>
      <c r="D75" s="4"/>
      <c r="E75" s="4"/>
      <c r="F75" s="4">
        <v>0</v>
      </c>
      <c r="G75" s="4">
        <v>0</v>
      </c>
      <c r="H75" s="4">
        <v>0</v>
      </c>
      <c r="I75" s="4">
        <v>0</v>
      </c>
      <c r="J75" s="4">
        <v>0</v>
      </c>
      <c r="K75" s="4">
        <v>0</v>
      </c>
      <c r="L75" s="11" t="e">
        <f>(E75+G75)/G75</f>
        <v>#DIV/0!</v>
      </c>
      <c r="N75" s="104"/>
      <c r="O75" s="4"/>
      <c r="P75" s="12">
        <f>V75-(V75*0.1)-$G$3-R75</f>
        <v>-1090</v>
      </c>
      <c r="Q75" s="4">
        <v>0</v>
      </c>
      <c r="R75" s="4">
        <v>4000</v>
      </c>
      <c r="S75" s="4">
        <v>0</v>
      </c>
      <c r="T75" s="4">
        <v>0</v>
      </c>
      <c r="U75" s="4">
        <v>0</v>
      </c>
      <c r="V75" s="4">
        <v>3500</v>
      </c>
      <c r="W75" s="11">
        <f>(P75+R75)/R75</f>
        <v>0.72750000000000004</v>
      </c>
    </row>
    <row r="77" spans="3:23" ht="19" x14ac:dyDescent="0.2">
      <c r="C77" s="107">
        <v>25</v>
      </c>
      <c r="D77" s="9" t="s">
        <v>13</v>
      </c>
      <c r="E77" s="106" t="s">
        <v>146</v>
      </c>
      <c r="F77" s="106"/>
      <c r="G77" s="106"/>
      <c r="H77" s="106"/>
      <c r="I77" s="106"/>
      <c r="J77" s="106"/>
      <c r="K77" s="106"/>
      <c r="L77" s="106"/>
      <c r="N77" s="108">
        <v>26</v>
      </c>
      <c r="O77" s="61" t="s">
        <v>13</v>
      </c>
      <c r="P77" s="111" t="s">
        <v>148</v>
      </c>
      <c r="Q77" s="111"/>
      <c r="R77" s="111"/>
      <c r="S77" s="111"/>
      <c r="T77" s="111"/>
      <c r="U77" s="111"/>
      <c r="V77" s="111"/>
      <c r="W77" s="111"/>
    </row>
    <row r="78" spans="3:23" ht="55" customHeight="1" x14ac:dyDescent="0.2">
      <c r="C78" s="107"/>
      <c r="D78" s="4" t="s">
        <v>16</v>
      </c>
      <c r="E78" s="102" t="s">
        <v>147</v>
      </c>
      <c r="F78" s="103"/>
      <c r="G78" s="103"/>
      <c r="H78" s="103"/>
      <c r="I78" s="103"/>
      <c r="J78" s="103"/>
      <c r="K78" s="103"/>
      <c r="L78" s="103"/>
      <c r="N78" s="108"/>
      <c r="O78" s="4" t="s">
        <v>16</v>
      </c>
      <c r="P78" s="112" t="s">
        <v>149</v>
      </c>
      <c r="Q78" s="113"/>
      <c r="R78" s="113"/>
      <c r="S78" s="113"/>
      <c r="T78" s="113"/>
      <c r="U78" s="113"/>
      <c r="V78" s="113"/>
      <c r="W78" s="113"/>
    </row>
    <row r="79" spans="3:23" ht="55" customHeight="1" x14ac:dyDescent="0.2">
      <c r="C79" s="107"/>
      <c r="D79" s="5" t="s">
        <v>14</v>
      </c>
      <c r="E79" s="103"/>
      <c r="F79" s="103"/>
      <c r="G79" s="103"/>
      <c r="H79" s="103"/>
      <c r="I79" s="103"/>
      <c r="J79" s="103"/>
      <c r="K79" s="103"/>
      <c r="L79" s="103"/>
      <c r="N79" s="108"/>
      <c r="O79" s="5" t="s">
        <v>14</v>
      </c>
      <c r="P79" s="113"/>
      <c r="Q79" s="113"/>
      <c r="R79" s="113"/>
      <c r="S79" s="113"/>
      <c r="T79" s="113"/>
      <c r="U79" s="113"/>
      <c r="V79" s="113"/>
      <c r="W79" s="113"/>
    </row>
    <row r="80" spans="3:23" x14ac:dyDescent="0.2">
      <c r="C80" s="107"/>
      <c r="D80" s="4"/>
      <c r="E80" s="6" t="s">
        <v>4</v>
      </c>
      <c r="F80" s="6" t="s">
        <v>5</v>
      </c>
      <c r="G80" s="6" t="s">
        <v>10</v>
      </c>
      <c r="H80" s="6" t="s">
        <v>6</v>
      </c>
      <c r="I80" s="6" t="s">
        <v>7</v>
      </c>
      <c r="J80" s="6" t="s">
        <v>8</v>
      </c>
      <c r="K80" s="6" t="s">
        <v>9</v>
      </c>
      <c r="L80" s="6" t="s">
        <v>0</v>
      </c>
      <c r="N80" s="108"/>
      <c r="O80" s="4"/>
      <c r="P80" s="6" t="s">
        <v>4</v>
      </c>
      <c r="Q80" s="6" t="s">
        <v>5</v>
      </c>
      <c r="R80" s="6" t="s">
        <v>10</v>
      </c>
      <c r="S80" s="6" t="s">
        <v>6</v>
      </c>
      <c r="T80" s="6" t="s">
        <v>7</v>
      </c>
      <c r="U80" s="6" t="s">
        <v>8</v>
      </c>
      <c r="V80" s="6" t="s">
        <v>9</v>
      </c>
      <c r="W80" s="6" t="s">
        <v>0</v>
      </c>
    </row>
    <row r="81" spans="3:23" x14ac:dyDescent="0.2">
      <c r="C81" s="107"/>
      <c r="D81" s="4"/>
      <c r="E81" s="4"/>
      <c r="F81" s="4">
        <v>7000</v>
      </c>
      <c r="G81" s="4">
        <v>8000</v>
      </c>
      <c r="H81" s="4">
        <v>9999</v>
      </c>
      <c r="I81" s="4"/>
      <c r="J81" s="4"/>
      <c r="K81" s="4">
        <v>0</v>
      </c>
      <c r="L81" s="11">
        <f>(E81+G81)/G81</f>
        <v>1</v>
      </c>
      <c r="N81" s="108"/>
      <c r="O81" s="4"/>
      <c r="P81" s="12">
        <f>V81-(V81*0.1)-$G$3-R81</f>
        <v>3350</v>
      </c>
      <c r="Q81" s="4">
        <v>6000</v>
      </c>
      <c r="R81" s="4">
        <v>10000</v>
      </c>
      <c r="S81" s="4">
        <v>18000</v>
      </c>
      <c r="T81" s="4"/>
      <c r="U81" s="4"/>
      <c r="V81" s="4">
        <v>15100</v>
      </c>
      <c r="W81" s="11">
        <f>(P81+R81)/R81</f>
        <v>1.335</v>
      </c>
    </row>
    <row r="82" spans="3:23" ht="32.5" x14ac:dyDescent="0.2">
      <c r="C82" s="8"/>
      <c r="N82" s="8"/>
    </row>
    <row r="83" spans="3:23" ht="19" x14ac:dyDescent="0.2">
      <c r="C83" s="95">
        <v>27</v>
      </c>
      <c r="D83" s="4" t="s">
        <v>13</v>
      </c>
      <c r="E83" s="111" t="s">
        <v>150</v>
      </c>
      <c r="F83" s="111"/>
      <c r="G83" s="111"/>
      <c r="H83" s="111"/>
      <c r="I83" s="111"/>
      <c r="J83" s="111"/>
      <c r="K83" s="111"/>
      <c r="L83" s="111"/>
      <c r="N83" s="97">
        <v>28</v>
      </c>
      <c r="O83" s="4" t="s">
        <v>13</v>
      </c>
      <c r="P83" s="106" t="s">
        <v>152</v>
      </c>
      <c r="Q83" s="106"/>
      <c r="R83" s="106"/>
      <c r="S83" s="106"/>
      <c r="T83" s="106"/>
      <c r="U83" s="106"/>
      <c r="V83" s="106"/>
      <c r="W83" s="106"/>
    </row>
    <row r="84" spans="3:23" ht="55" customHeight="1" x14ac:dyDescent="0.2">
      <c r="C84" s="95"/>
      <c r="D84" s="4" t="s">
        <v>16</v>
      </c>
      <c r="E84" s="112" t="s">
        <v>151</v>
      </c>
      <c r="F84" s="113"/>
      <c r="G84" s="113"/>
      <c r="H84" s="113"/>
      <c r="I84" s="113"/>
      <c r="J84" s="113"/>
      <c r="K84" s="113"/>
      <c r="L84" s="113"/>
      <c r="N84" s="98"/>
      <c r="O84" s="4" t="s">
        <v>16</v>
      </c>
      <c r="P84" s="102" t="s">
        <v>153</v>
      </c>
      <c r="Q84" s="103"/>
      <c r="R84" s="103"/>
      <c r="S84" s="103"/>
      <c r="T84" s="103"/>
      <c r="U84" s="103"/>
      <c r="V84" s="103"/>
      <c r="W84" s="103"/>
    </row>
    <row r="85" spans="3:23" ht="55" customHeight="1" x14ac:dyDescent="0.2">
      <c r="C85" s="95"/>
      <c r="D85" s="5" t="s">
        <v>14</v>
      </c>
      <c r="E85" s="113"/>
      <c r="F85" s="113"/>
      <c r="G85" s="113"/>
      <c r="H85" s="113"/>
      <c r="I85" s="113"/>
      <c r="J85" s="113"/>
      <c r="K85" s="113"/>
      <c r="L85" s="113"/>
      <c r="N85" s="98"/>
      <c r="O85" s="5" t="s">
        <v>14</v>
      </c>
      <c r="P85" s="103"/>
      <c r="Q85" s="103"/>
      <c r="R85" s="103"/>
      <c r="S85" s="103"/>
      <c r="T85" s="103"/>
      <c r="U85" s="103"/>
      <c r="V85" s="103"/>
      <c r="W85" s="103"/>
    </row>
    <row r="86" spans="3:23" x14ac:dyDescent="0.2">
      <c r="C86" s="95"/>
      <c r="D86" s="4"/>
      <c r="E86" s="6" t="s">
        <v>4</v>
      </c>
      <c r="F86" s="6" t="s">
        <v>5</v>
      </c>
      <c r="G86" s="6" t="s">
        <v>10</v>
      </c>
      <c r="H86" s="6" t="s">
        <v>6</v>
      </c>
      <c r="I86" s="6" t="s">
        <v>7</v>
      </c>
      <c r="J86" s="6" t="s">
        <v>8</v>
      </c>
      <c r="K86" s="6" t="s">
        <v>9</v>
      </c>
      <c r="L86" s="6" t="s">
        <v>0</v>
      </c>
      <c r="N86" s="98"/>
      <c r="O86" s="4"/>
      <c r="P86" s="6" t="s">
        <v>4</v>
      </c>
      <c r="Q86" s="6" t="s">
        <v>5</v>
      </c>
      <c r="R86" s="6" t="s">
        <v>10</v>
      </c>
      <c r="S86" s="6" t="s">
        <v>6</v>
      </c>
      <c r="T86" s="6" t="s">
        <v>7</v>
      </c>
      <c r="U86" s="6" t="s">
        <v>8</v>
      </c>
      <c r="V86" s="6" t="s">
        <v>9</v>
      </c>
      <c r="W86" s="6" t="s">
        <v>0</v>
      </c>
    </row>
    <row r="87" spans="3:23" x14ac:dyDescent="0.2">
      <c r="C87" s="95"/>
      <c r="D87" s="4"/>
      <c r="E87" s="12">
        <f>K87-(K87*0.1)-$G$3-G87</f>
        <v>-390.89999999999964</v>
      </c>
      <c r="F87" s="4">
        <v>7000</v>
      </c>
      <c r="G87" s="4">
        <v>6000</v>
      </c>
      <c r="H87" s="4">
        <v>12000</v>
      </c>
      <c r="I87" s="4"/>
      <c r="J87" s="4"/>
      <c r="K87" s="4">
        <v>6499</v>
      </c>
      <c r="L87" s="11">
        <f>(E87+G87)/G87</f>
        <v>0.93485000000000007</v>
      </c>
      <c r="N87" s="98"/>
      <c r="O87" s="4"/>
      <c r="P87" s="12"/>
      <c r="Q87" s="4">
        <v>1500</v>
      </c>
      <c r="R87" s="4">
        <v>3100</v>
      </c>
      <c r="S87" s="4">
        <v>9999</v>
      </c>
      <c r="T87" s="4"/>
      <c r="U87" s="4"/>
      <c r="V87" s="4"/>
      <c r="W87" s="11">
        <f>(P87+R87)/R87</f>
        <v>1</v>
      </c>
    </row>
    <row r="89" spans="3:23" ht="19" x14ac:dyDescent="0.2">
      <c r="C89" s="109">
        <v>29</v>
      </c>
      <c r="D89" s="4" t="s">
        <v>13</v>
      </c>
      <c r="E89" s="111" t="s">
        <v>166</v>
      </c>
      <c r="F89" s="111"/>
      <c r="G89" s="111"/>
      <c r="H89" s="111"/>
      <c r="I89" s="111"/>
      <c r="J89" s="111"/>
      <c r="K89" s="111"/>
      <c r="L89" s="111"/>
      <c r="N89" s="104">
        <v>30</v>
      </c>
      <c r="O89" s="4" t="s">
        <v>13</v>
      </c>
      <c r="P89" s="111" t="s">
        <v>168</v>
      </c>
      <c r="Q89" s="111"/>
      <c r="R89" s="111"/>
      <c r="S89" s="111"/>
      <c r="T89" s="111"/>
      <c r="U89" s="111"/>
      <c r="V89" s="111"/>
      <c r="W89" s="111"/>
    </row>
    <row r="90" spans="3:23" ht="55" customHeight="1" x14ac:dyDescent="0.2">
      <c r="C90" s="109"/>
      <c r="D90" s="4" t="s">
        <v>16</v>
      </c>
      <c r="E90" s="112"/>
      <c r="F90" s="113"/>
      <c r="G90" s="113"/>
      <c r="H90" s="113"/>
      <c r="I90" s="113"/>
      <c r="J90" s="113"/>
      <c r="K90" s="113"/>
      <c r="L90" s="113"/>
      <c r="N90" s="104"/>
      <c r="O90" s="4" t="s">
        <v>16</v>
      </c>
      <c r="P90" s="112"/>
      <c r="Q90" s="113"/>
      <c r="R90" s="113"/>
      <c r="S90" s="113"/>
      <c r="T90" s="113"/>
      <c r="U90" s="113"/>
      <c r="V90" s="113"/>
      <c r="W90" s="113"/>
    </row>
    <row r="91" spans="3:23" ht="55" customHeight="1" x14ac:dyDescent="0.2">
      <c r="C91" s="109"/>
      <c r="D91" s="5" t="s">
        <v>14</v>
      </c>
      <c r="E91" s="113"/>
      <c r="F91" s="113"/>
      <c r="G91" s="113"/>
      <c r="H91" s="113"/>
      <c r="I91" s="113"/>
      <c r="J91" s="113"/>
      <c r="K91" s="113"/>
      <c r="L91" s="113"/>
      <c r="N91" s="104"/>
      <c r="O91" s="5" t="s">
        <v>14</v>
      </c>
      <c r="P91" s="113"/>
      <c r="Q91" s="113"/>
      <c r="R91" s="113"/>
      <c r="S91" s="113"/>
      <c r="T91" s="113"/>
      <c r="U91" s="113"/>
      <c r="V91" s="113"/>
      <c r="W91" s="113"/>
    </row>
    <row r="92" spans="3:23" x14ac:dyDescent="0.2">
      <c r="C92" s="109"/>
      <c r="D92" s="4"/>
      <c r="E92" s="6" t="s">
        <v>4</v>
      </c>
      <c r="F92" s="6" t="s">
        <v>5</v>
      </c>
      <c r="G92" s="6" t="s">
        <v>10</v>
      </c>
      <c r="H92" s="6" t="s">
        <v>6</v>
      </c>
      <c r="I92" s="6" t="s">
        <v>7</v>
      </c>
      <c r="J92" s="6" t="s">
        <v>8</v>
      </c>
      <c r="K92" s="6" t="s">
        <v>9</v>
      </c>
      <c r="L92" s="6" t="s">
        <v>0</v>
      </c>
      <c r="N92" s="104"/>
      <c r="O92" s="4"/>
      <c r="P92" s="6" t="s">
        <v>4</v>
      </c>
      <c r="Q92" s="6" t="s">
        <v>5</v>
      </c>
      <c r="R92" s="6" t="s">
        <v>10</v>
      </c>
      <c r="S92" s="6" t="s">
        <v>6</v>
      </c>
      <c r="T92" s="6" t="s">
        <v>7</v>
      </c>
      <c r="U92" s="6" t="s">
        <v>8</v>
      </c>
      <c r="V92" s="6" t="s">
        <v>9</v>
      </c>
      <c r="W92" s="6" t="s">
        <v>0</v>
      </c>
    </row>
    <row r="93" spans="3:23" x14ac:dyDescent="0.2">
      <c r="C93" s="109"/>
      <c r="D93" s="4"/>
      <c r="E93" s="12">
        <f>K93-(K93*0.1)-$H$3-G93</f>
        <v>5290</v>
      </c>
      <c r="F93" s="4">
        <v>18000</v>
      </c>
      <c r="G93" s="4">
        <v>9100</v>
      </c>
      <c r="H93" s="4"/>
      <c r="I93" s="4"/>
      <c r="J93" s="4"/>
      <c r="K93" s="4">
        <v>16800</v>
      </c>
      <c r="L93" s="11">
        <f>(E93+G93)/G93</f>
        <v>1.5813186813186813</v>
      </c>
      <c r="N93" s="104"/>
      <c r="O93" s="4"/>
      <c r="P93" s="12">
        <f>V93-(V93*0.1)-$G$3-R93</f>
        <v>630</v>
      </c>
      <c r="Q93" s="4">
        <v>3500</v>
      </c>
      <c r="R93" s="4">
        <v>3000</v>
      </c>
      <c r="S93" s="4"/>
      <c r="T93" s="4"/>
      <c r="U93" s="4"/>
      <c r="V93" s="4">
        <v>4300</v>
      </c>
      <c r="W93" s="11">
        <f>(P93+R93)/R93</f>
        <v>1.21</v>
      </c>
    </row>
    <row r="95" spans="3:23" ht="19" x14ac:dyDescent="0.2">
      <c r="C95" s="107">
        <v>31</v>
      </c>
      <c r="D95" s="4" t="s">
        <v>13</v>
      </c>
      <c r="E95" s="111" t="s">
        <v>167</v>
      </c>
      <c r="F95" s="111"/>
      <c r="G95" s="111"/>
      <c r="H95" s="111"/>
      <c r="I95" s="111"/>
      <c r="J95" s="111"/>
      <c r="K95" s="111"/>
      <c r="L95" s="111"/>
      <c r="N95" s="108">
        <v>32</v>
      </c>
      <c r="O95" s="4" t="s">
        <v>13</v>
      </c>
      <c r="P95" s="106" t="s">
        <v>174</v>
      </c>
      <c r="Q95" s="106"/>
      <c r="R95" s="106"/>
      <c r="S95" s="106"/>
      <c r="T95" s="106"/>
      <c r="U95" s="106"/>
      <c r="V95" s="106"/>
      <c r="W95" s="106"/>
    </row>
    <row r="96" spans="3:23" ht="55" customHeight="1" x14ac:dyDescent="0.2">
      <c r="C96" s="107"/>
      <c r="D96" s="4" t="s">
        <v>16</v>
      </c>
      <c r="E96" s="112"/>
      <c r="F96" s="113"/>
      <c r="G96" s="113"/>
      <c r="H96" s="113"/>
      <c r="I96" s="113"/>
      <c r="J96" s="113"/>
      <c r="K96" s="113"/>
      <c r="L96" s="113"/>
      <c r="N96" s="108"/>
      <c r="O96" s="4" t="s">
        <v>16</v>
      </c>
      <c r="P96" s="102" t="s">
        <v>175</v>
      </c>
      <c r="Q96" s="103"/>
      <c r="R96" s="103"/>
      <c r="S96" s="103"/>
      <c r="T96" s="103"/>
      <c r="U96" s="103"/>
      <c r="V96" s="103"/>
      <c r="W96" s="103"/>
    </row>
    <row r="97" spans="3:23" ht="55" customHeight="1" x14ac:dyDescent="0.2">
      <c r="C97" s="107"/>
      <c r="D97" s="5" t="s">
        <v>14</v>
      </c>
      <c r="E97" s="113"/>
      <c r="F97" s="113"/>
      <c r="G97" s="113"/>
      <c r="H97" s="113"/>
      <c r="I97" s="113"/>
      <c r="J97" s="113"/>
      <c r="K97" s="113"/>
      <c r="L97" s="113"/>
      <c r="N97" s="108"/>
      <c r="O97" s="5" t="s">
        <v>14</v>
      </c>
      <c r="P97" s="103"/>
      <c r="Q97" s="103"/>
      <c r="R97" s="103"/>
      <c r="S97" s="103"/>
      <c r="T97" s="103"/>
      <c r="U97" s="103"/>
      <c r="V97" s="103"/>
      <c r="W97" s="103"/>
    </row>
    <row r="98" spans="3:23" x14ac:dyDescent="0.2">
      <c r="C98" s="107"/>
      <c r="D98" s="4"/>
      <c r="E98" s="6" t="s">
        <v>4</v>
      </c>
      <c r="F98" s="6" t="s">
        <v>5</v>
      </c>
      <c r="G98" s="6" t="s">
        <v>10</v>
      </c>
      <c r="H98" s="6" t="s">
        <v>6</v>
      </c>
      <c r="I98" s="6" t="s">
        <v>7</v>
      </c>
      <c r="J98" s="6" t="s">
        <v>8</v>
      </c>
      <c r="K98" s="6" t="s">
        <v>9</v>
      </c>
      <c r="L98" s="6" t="s">
        <v>0</v>
      </c>
      <c r="N98" s="108"/>
      <c r="O98" s="4"/>
      <c r="P98" s="6" t="s">
        <v>4</v>
      </c>
      <c r="Q98" s="6" t="s">
        <v>5</v>
      </c>
      <c r="R98" s="6" t="s">
        <v>10</v>
      </c>
      <c r="S98" s="6" t="s">
        <v>6</v>
      </c>
      <c r="T98" s="6" t="s">
        <v>7</v>
      </c>
      <c r="U98" s="6" t="s">
        <v>8</v>
      </c>
      <c r="V98" s="6" t="s">
        <v>9</v>
      </c>
      <c r="W98" s="6" t="s">
        <v>0</v>
      </c>
    </row>
    <row r="99" spans="3:23" x14ac:dyDescent="0.2">
      <c r="C99" s="107"/>
      <c r="D99" s="4"/>
      <c r="E99" s="12">
        <f>K99-(K99*0.1)-$G$3-G99</f>
        <v>2169.0999999999985</v>
      </c>
      <c r="F99" s="4">
        <v>8000</v>
      </c>
      <c r="G99" s="4">
        <v>20000</v>
      </c>
      <c r="H99" s="4"/>
      <c r="I99" s="4"/>
      <c r="J99" s="4"/>
      <c r="K99" s="4">
        <v>24899</v>
      </c>
      <c r="L99" s="11">
        <f>(E99+G99)/G99</f>
        <v>1.108455</v>
      </c>
      <c r="N99" s="108"/>
      <c r="O99" s="4"/>
      <c r="P99" s="12">
        <f>V99-(V99*0.1)-$G$3-R99</f>
        <v>-10040</v>
      </c>
      <c r="Q99" s="4"/>
      <c r="R99" s="4">
        <v>9800</v>
      </c>
      <c r="S99" s="4">
        <v>14999</v>
      </c>
      <c r="T99" s="4"/>
      <c r="U99" s="4"/>
      <c r="V99" s="4"/>
      <c r="W99" s="11">
        <f>(P99+R99)/R99</f>
        <v>-2.4489795918367346E-2</v>
      </c>
    </row>
    <row r="100" spans="3:23" ht="32.5" x14ac:dyDescent="0.2">
      <c r="C100" s="8"/>
      <c r="N100" s="8"/>
    </row>
    <row r="101" spans="3:23" ht="19" x14ac:dyDescent="0.2">
      <c r="C101" s="95">
        <v>33</v>
      </c>
      <c r="D101" s="4" t="s">
        <v>13</v>
      </c>
      <c r="E101" s="106" t="s">
        <v>170</v>
      </c>
      <c r="F101" s="106"/>
      <c r="G101" s="106"/>
      <c r="H101" s="106"/>
      <c r="I101" s="106"/>
      <c r="J101" s="106"/>
      <c r="K101" s="106"/>
      <c r="L101" s="106"/>
      <c r="N101" s="97">
        <v>34</v>
      </c>
      <c r="O101" s="4" t="s">
        <v>13</v>
      </c>
      <c r="P101" s="106" t="s">
        <v>177</v>
      </c>
      <c r="Q101" s="106"/>
      <c r="R101" s="106"/>
      <c r="S101" s="106"/>
      <c r="T101" s="106"/>
      <c r="U101" s="106"/>
      <c r="V101" s="106"/>
      <c r="W101" s="106"/>
    </row>
    <row r="102" spans="3:23" ht="55" customHeight="1" x14ac:dyDescent="0.2">
      <c r="C102" s="95"/>
      <c r="D102" s="4" t="s">
        <v>16</v>
      </c>
      <c r="E102" s="102" t="s">
        <v>171</v>
      </c>
      <c r="F102" s="103"/>
      <c r="G102" s="103"/>
      <c r="H102" s="103"/>
      <c r="I102" s="103"/>
      <c r="J102" s="103"/>
      <c r="K102" s="103"/>
      <c r="L102" s="103"/>
      <c r="N102" s="98"/>
      <c r="O102" s="4" t="s">
        <v>16</v>
      </c>
      <c r="P102" s="102" t="s">
        <v>178</v>
      </c>
      <c r="Q102" s="103"/>
      <c r="R102" s="103"/>
      <c r="S102" s="103"/>
      <c r="T102" s="103"/>
      <c r="U102" s="103"/>
      <c r="V102" s="103"/>
      <c r="W102" s="103"/>
    </row>
    <row r="103" spans="3:23" ht="55" customHeight="1" x14ac:dyDescent="0.2">
      <c r="C103" s="95"/>
      <c r="D103" s="5" t="s">
        <v>14</v>
      </c>
      <c r="E103" s="103"/>
      <c r="F103" s="103"/>
      <c r="G103" s="103"/>
      <c r="H103" s="103"/>
      <c r="I103" s="103"/>
      <c r="J103" s="103"/>
      <c r="K103" s="103"/>
      <c r="L103" s="103"/>
      <c r="N103" s="98"/>
      <c r="O103" s="5" t="s">
        <v>14</v>
      </c>
      <c r="P103" s="103"/>
      <c r="Q103" s="103"/>
      <c r="R103" s="103"/>
      <c r="S103" s="103"/>
      <c r="T103" s="103"/>
      <c r="U103" s="103"/>
      <c r="V103" s="103"/>
      <c r="W103" s="103"/>
    </row>
    <row r="104" spans="3:23" x14ac:dyDescent="0.2">
      <c r="C104" s="95"/>
      <c r="D104" s="4"/>
      <c r="E104" s="6" t="s">
        <v>4</v>
      </c>
      <c r="F104" s="6" t="s">
        <v>5</v>
      </c>
      <c r="G104" s="6" t="s">
        <v>10</v>
      </c>
      <c r="H104" s="6" t="s">
        <v>6</v>
      </c>
      <c r="I104" s="6" t="s">
        <v>7</v>
      </c>
      <c r="J104" s="6" t="s">
        <v>8</v>
      </c>
      <c r="K104" s="6" t="s">
        <v>9</v>
      </c>
      <c r="L104" s="6" t="s">
        <v>0</v>
      </c>
      <c r="N104" s="98"/>
      <c r="O104" s="4"/>
      <c r="P104" s="6" t="s">
        <v>4</v>
      </c>
      <c r="Q104" s="6" t="s">
        <v>5</v>
      </c>
      <c r="R104" s="6" t="s">
        <v>10</v>
      </c>
      <c r="S104" s="6" t="s">
        <v>6</v>
      </c>
      <c r="T104" s="6" t="s">
        <v>7</v>
      </c>
      <c r="U104" s="6" t="s">
        <v>8</v>
      </c>
      <c r="V104" s="6" t="s">
        <v>9</v>
      </c>
      <c r="W104" s="6" t="s">
        <v>0</v>
      </c>
    </row>
    <row r="105" spans="3:23" x14ac:dyDescent="0.2">
      <c r="C105" s="95"/>
      <c r="D105" s="4"/>
      <c r="E105" s="12">
        <f>K105-(K105*0.1)-$G$3-G105</f>
        <v>-7590</v>
      </c>
      <c r="F105" s="4"/>
      <c r="G105" s="4">
        <v>7350</v>
      </c>
      <c r="H105" s="4">
        <v>15999</v>
      </c>
      <c r="I105" s="4"/>
      <c r="J105" s="4"/>
      <c r="K105" s="4"/>
      <c r="L105" s="11">
        <f>(E105+G105)/G105</f>
        <v>-3.2653061224489799E-2</v>
      </c>
      <c r="N105" s="98"/>
      <c r="O105" s="4"/>
      <c r="P105" s="12">
        <f>V105-(V105*0.1)-$G$3-R105</f>
        <v>-10240</v>
      </c>
      <c r="Q105" s="4"/>
      <c r="R105" s="4">
        <v>10000</v>
      </c>
      <c r="S105" s="4"/>
      <c r="T105" s="4"/>
      <c r="U105" s="4"/>
      <c r="V105" s="4"/>
      <c r="W105" s="11">
        <f>(P105+R105)/R105</f>
        <v>-2.4E-2</v>
      </c>
    </row>
    <row r="107" spans="3:23" ht="19" x14ac:dyDescent="0.2">
      <c r="C107" s="104">
        <v>35</v>
      </c>
      <c r="D107" s="4" t="s">
        <v>13</v>
      </c>
      <c r="E107" s="106" t="s">
        <v>179</v>
      </c>
      <c r="F107" s="106"/>
      <c r="G107" s="106"/>
      <c r="H107" s="106"/>
      <c r="I107" s="106"/>
      <c r="J107" s="106"/>
      <c r="K107" s="106"/>
      <c r="L107" s="106"/>
      <c r="N107" s="105">
        <v>36</v>
      </c>
      <c r="O107" s="4" t="s">
        <v>13</v>
      </c>
      <c r="P107" s="106" t="s">
        <v>181</v>
      </c>
      <c r="Q107" s="106"/>
      <c r="R107" s="106"/>
      <c r="S107" s="106"/>
      <c r="T107" s="106"/>
      <c r="U107" s="106"/>
      <c r="V107" s="106"/>
      <c r="W107" s="106"/>
    </row>
    <row r="108" spans="3:23" ht="55" customHeight="1" x14ac:dyDescent="0.2">
      <c r="C108" s="104"/>
      <c r="D108" s="4" t="s">
        <v>16</v>
      </c>
      <c r="E108" s="102" t="s">
        <v>180</v>
      </c>
      <c r="F108" s="103"/>
      <c r="G108" s="103"/>
      <c r="H108" s="103"/>
      <c r="I108" s="103"/>
      <c r="J108" s="103"/>
      <c r="K108" s="103"/>
      <c r="L108" s="103"/>
      <c r="N108" s="105"/>
      <c r="O108" s="4" t="s">
        <v>16</v>
      </c>
      <c r="P108" s="102" t="s">
        <v>182</v>
      </c>
      <c r="Q108" s="103"/>
      <c r="R108" s="103"/>
      <c r="S108" s="103"/>
      <c r="T108" s="103"/>
      <c r="U108" s="103"/>
      <c r="V108" s="103"/>
      <c r="W108" s="103"/>
    </row>
    <row r="109" spans="3:23" ht="55" customHeight="1" x14ac:dyDescent="0.2">
      <c r="C109" s="104"/>
      <c r="D109" s="5" t="s">
        <v>14</v>
      </c>
      <c r="E109" s="103"/>
      <c r="F109" s="103"/>
      <c r="G109" s="103"/>
      <c r="H109" s="103"/>
      <c r="I109" s="103"/>
      <c r="J109" s="103"/>
      <c r="K109" s="103"/>
      <c r="L109" s="103"/>
      <c r="N109" s="105"/>
      <c r="O109" s="5" t="s">
        <v>14</v>
      </c>
      <c r="P109" s="103"/>
      <c r="Q109" s="103"/>
      <c r="R109" s="103"/>
      <c r="S109" s="103"/>
      <c r="T109" s="103"/>
      <c r="U109" s="103"/>
      <c r="V109" s="103"/>
      <c r="W109" s="103"/>
    </row>
    <row r="110" spans="3:23" x14ac:dyDescent="0.2">
      <c r="C110" s="104"/>
      <c r="D110" s="4"/>
      <c r="E110" s="6" t="s">
        <v>4</v>
      </c>
      <c r="F110" s="6" t="s">
        <v>5</v>
      </c>
      <c r="G110" s="6" t="s">
        <v>10</v>
      </c>
      <c r="H110" s="6" t="s">
        <v>6</v>
      </c>
      <c r="I110" s="6" t="s">
        <v>7</v>
      </c>
      <c r="J110" s="6" t="s">
        <v>8</v>
      </c>
      <c r="K110" s="6" t="s">
        <v>9</v>
      </c>
      <c r="L110" s="6" t="s">
        <v>0</v>
      </c>
      <c r="N110" s="105"/>
      <c r="O110" s="4"/>
      <c r="P110" s="6" t="s">
        <v>4</v>
      </c>
      <c r="Q110" s="6" t="s">
        <v>5</v>
      </c>
      <c r="R110" s="6" t="s">
        <v>10</v>
      </c>
      <c r="S110" s="6" t="s">
        <v>6</v>
      </c>
      <c r="T110" s="6" t="s">
        <v>7</v>
      </c>
      <c r="U110" s="6" t="s">
        <v>8</v>
      </c>
      <c r="V110" s="6" t="s">
        <v>9</v>
      </c>
      <c r="W110" s="6" t="s">
        <v>0</v>
      </c>
    </row>
    <row r="111" spans="3:23" x14ac:dyDescent="0.2">
      <c r="C111" s="104"/>
      <c r="D111" s="4"/>
      <c r="E111" s="12">
        <f>K111-(K111*0.1)-$G$3-G111</f>
        <v>-20240</v>
      </c>
      <c r="F111" s="4"/>
      <c r="G111" s="4">
        <v>20000</v>
      </c>
      <c r="H111" s="4"/>
      <c r="I111" s="4"/>
      <c r="J111" s="4"/>
      <c r="K111" s="4"/>
      <c r="L111" s="11">
        <f>(E111+G111)/G111</f>
        <v>-1.2E-2</v>
      </c>
      <c r="N111" s="105"/>
      <c r="O111" s="4"/>
      <c r="P111" s="12">
        <f>V111-(V111*0.1)-$G$3-R111</f>
        <v>-16240</v>
      </c>
      <c r="Q111" s="4"/>
      <c r="R111" s="4">
        <v>16000</v>
      </c>
      <c r="S111" s="4"/>
      <c r="T111" s="4"/>
      <c r="U111" s="4"/>
      <c r="V111" s="4"/>
      <c r="W111" s="11">
        <f>(P111+R111)/R111</f>
        <v>-1.4999999999999999E-2</v>
      </c>
    </row>
    <row r="112" spans="3:23" ht="32.5" x14ac:dyDescent="0.2">
      <c r="C112" s="8"/>
      <c r="N112" s="8"/>
    </row>
    <row r="113" spans="3:23" ht="19" x14ac:dyDescent="0.2">
      <c r="C113" s="107">
        <v>37</v>
      </c>
      <c r="D113" s="4" t="s">
        <v>13</v>
      </c>
      <c r="E113" s="106" t="s">
        <v>183</v>
      </c>
      <c r="F113" s="106"/>
      <c r="G113" s="106"/>
      <c r="H113" s="106"/>
      <c r="I113" s="106"/>
      <c r="J113" s="106"/>
      <c r="K113" s="106"/>
      <c r="L113" s="106"/>
      <c r="N113" s="108">
        <v>38</v>
      </c>
      <c r="O113" s="4" t="s">
        <v>13</v>
      </c>
      <c r="P113" s="106" t="s">
        <v>185</v>
      </c>
      <c r="Q113" s="106"/>
      <c r="R113" s="106"/>
      <c r="S113" s="106"/>
      <c r="T113" s="106"/>
      <c r="U113" s="106"/>
      <c r="V113" s="106"/>
      <c r="W113" s="106"/>
    </row>
    <row r="114" spans="3:23" ht="55" customHeight="1" x14ac:dyDescent="0.2">
      <c r="C114" s="107"/>
      <c r="D114" s="4" t="s">
        <v>16</v>
      </c>
      <c r="E114" s="102" t="s">
        <v>184</v>
      </c>
      <c r="F114" s="103"/>
      <c r="G114" s="103"/>
      <c r="H114" s="103"/>
      <c r="I114" s="103"/>
      <c r="J114" s="103"/>
      <c r="K114" s="103"/>
      <c r="L114" s="103"/>
      <c r="N114" s="108"/>
      <c r="O114" s="4" t="s">
        <v>16</v>
      </c>
      <c r="P114" s="102" t="s">
        <v>186</v>
      </c>
      <c r="Q114" s="103"/>
      <c r="R114" s="103"/>
      <c r="S114" s="103"/>
      <c r="T114" s="103"/>
      <c r="U114" s="103"/>
      <c r="V114" s="103"/>
      <c r="W114" s="103"/>
    </row>
    <row r="115" spans="3:23" ht="55" customHeight="1" x14ac:dyDescent="0.2">
      <c r="C115" s="107"/>
      <c r="D115" s="5" t="s">
        <v>14</v>
      </c>
      <c r="E115" s="103"/>
      <c r="F115" s="103"/>
      <c r="G115" s="103"/>
      <c r="H115" s="103"/>
      <c r="I115" s="103"/>
      <c r="J115" s="103"/>
      <c r="K115" s="103"/>
      <c r="L115" s="103"/>
      <c r="N115" s="108"/>
      <c r="O115" s="5" t="s">
        <v>14</v>
      </c>
      <c r="P115" s="103"/>
      <c r="Q115" s="103"/>
      <c r="R115" s="103"/>
      <c r="S115" s="103"/>
      <c r="T115" s="103"/>
      <c r="U115" s="103"/>
      <c r="V115" s="103"/>
      <c r="W115" s="103"/>
    </row>
    <row r="116" spans="3:23" x14ac:dyDescent="0.2">
      <c r="C116" s="107"/>
      <c r="D116" s="4"/>
      <c r="E116" s="6" t="s">
        <v>4</v>
      </c>
      <c r="F116" s="6" t="s">
        <v>5</v>
      </c>
      <c r="G116" s="6" t="s">
        <v>10</v>
      </c>
      <c r="H116" s="6" t="s">
        <v>6</v>
      </c>
      <c r="I116" s="6" t="s">
        <v>7</v>
      </c>
      <c r="J116" s="6" t="s">
        <v>8</v>
      </c>
      <c r="K116" s="6" t="s">
        <v>9</v>
      </c>
      <c r="L116" s="6" t="s">
        <v>0</v>
      </c>
      <c r="N116" s="108"/>
      <c r="O116" s="4"/>
      <c r="P116" s="6" t="s">
        <v>4</v>
      </c>
      <c r="Q116" s="6" t="s">
        <v>5</v>
      </c>
      <c r="R116" s="6" t="s">
        <v>10</v>
      </c>
      <c r="S116" s="6" t="s">
        <v>6</v>
      </c>
      <c r="T116" s="6" t="s">
        <v>7</v>
      </c>
      <c r="U116" s="6" t="s">
        <v>8</v>
      </c>
      <c r="V116" s="6" t="s">
        <v>9</v>
      </c>
      <c r="W116" s="6" t="s">
        <v>0</v>
      </c>
    </row>
    <row r="117" spans="3:23" x14ac:dyDescent="0.2">
      <c r="C117" s="107"/>
      <c r="D117" s="4"/>
      <c r="E117" s="12">
        <f>K117-(K117*0.1)-$G$3-G117</f>
        <v>-10240</v>
      </c>
      <c r="F117" s="4"/>
      <c r="G117" s="4">
        <v>10000</v>
      </c>
      <c r="H117" s="4"/>
      <c r="I117" s="4"/>
      <c r="J117" s="4"/>
      <c r="K117" s="4"/>
      <c r="L117" s="11">
        <f>(E117+G117)/G117</f>
        <v>-2.4E-2</v>
      </c>
      <c r="N117" s="108"/>
      <c r="O117" s="4"/>
      <c r="P117" s="12">
        <f>V117-(V117*0.1)-$G$3-R117</f>
        <v>-30240</v>
      </c>
      <c r="Q117" s="4"/>
      <c r="R117" s="4">
        <v>30000</v>
      </c>
      <c r="S117" s="4"/>
      <c r="T117" s="4"/>
      <c r="U117" s="4"/>
      <c r="V117" s="4"/>
      <c r="W117" s="11">
        <f>(P117+R117)/R117</f>
        <v>-8.0000000000000002E-3</v>
      </c>
    </row>
    <row r="118" spans="3:23" ht="32.5" x14ac:dyDescent="0.2">
      <c r="C118" s="8"/>
      <c r="N118" s="8"/>
    </row>
    <row r="119" spans="3:23" ht="19" customHeight="1" x14ac:dyDescent="0.2">
      <c r="C119" s="95">
        <v>39</v>
      </c>
      <c r="D119" s="4" t="s">
        <v>13</v>
      </c>
      <c r="E119" s="106" t="s">
        <v>187</v>
      </c>
      <c r="F119" s="106"/>
      <c r="G119" s="106"/>
      <c r="H119" s="106"/>
      <c r="I119" s="106"/>
      <c r="J119" s="106"/>
      <c r="K119" s="106"/>
      <c r="L119" s="106"/>
      <c r="N119" s="97">
        <v>40</v>
      </c>
      <c r="O119" s="4" t="s">
        <v>13</v>
      </c>
      <c r="P119" s="96" t="s">
        <v>188</v>
      </c>
      <c r="Q119" s="96"/>
      <c r="R119" s="96"/>
      <c r="S119" s="96"/>
      <c r="T119" s="96"/>
      <c r="U119" s="96"/>
      <c r="V119" s="96"/>
      <c r="W119" s="96"/>
    </row>
    <row r="120" spans="3:23" ht="55" customHeight="1" x14ac:dyDescent="0.2">
      <c r="C120" s="95"/>
      <c r="D120" s="4" t="s">
        <v>16</v>
      </c>
      <c r="E120" s="102" t="s">
        <v>262</v>
      </c>
      <c r="F120" s="103"/>
      <c r="G120" s="103"/>
      <c r="H120" s="103"/>
      <c r="I120" s="103"/>
      <c r="J120" s="103"/>
      <c r="K120" s="103"/>
      <c r="L120" s="103"/>
      <c r="N120" s="97"/>
      <c r="O120" s="4" t="s">
        <v>16</v>
      </c>
      <c r="P120" s="100" t="s">
        <v>189</v>
      </c>
      <c r="Q120" s="101"/>
      <c r="R120" s="101"/>
      <c r="S120" s="101"/>
      <c r="T120" s="101"/>
      <c r="U120" s="101"/>
      <c r="V120" s="101"/>
      <c r="W120" s="101"/>
    </row>
    <row r="121" spans="3:23" ht="55" customHeight="1" x14ac:dyDescent="0.2">
      <c r="C121" s="95"/>
      <c r="D121" s="5" t="s">
        <v>14</v>
      </c>
      <c r="E121" s="103"/>
      <c r="F121" s="103"/>
      <c r="G121" s="103"/>
      <c r="H121" s="103"/>
      <c r="I121" s="103"/>
      <c r="J121" s="103"/>
      <c r="K121" s="103"/>
      <c r="L121" s="103"/>
      <c r="N121" s="97"/>
      <c r="O121" s="5" t="s">
        <v>14</v>
      </c>
      <c r="P121" s="101"/>
      <c r="Q121" s="101"/>
      <c r="R121" s="101"/>
      <c r="S121" s="101"/>
      <c r="T121" s="101"/>
      <c r="U121" s="101"/>
      <c r="V121" s="101"/>
      <c r="W121" s="101"/>
    </row>
    <row r="122" spans="3:23" x14ac:dyDescent="0.2">
      <c r="C122" s="95"/>
      <c r="D122" s="4"/>
      <c r="E122" s="6" t="s">
        <v>4</v>
      </c>
      <c r="F122" s="6" t="s">
        <v>5</v>
      </c>
      <c r="G122" s="6" t="s">
        <v>10</v>
      </c>
      <c r="H122" s="6" t="s">
        <v>6</v>
      </c>
      <c r="I122" s="6" t="s">
        <v>7</v>
      </c>
      <c r="J122" s="6" t="s">
        <v>8</v>
      </c>
      <c r="K122" s="6" t="s">
        <v>9</v>
      </c>
      <c r="L122" s="6" t="s">
        <v>0</v>
      </c>
      <c r="N122" s="97"/>
      <c r="O122" s="4"/>
      <c r="P122" s="87" t="s">
        <v>4</v>
      </c>
      <c r="Q122" s="87" t="s">
        <v>5</v>
      </c>
      <c r="R122" s="87" t="s">
        <v>10</v>
      </c>
      <c r="S122" s="87" t="s">
        <v>6</v>
      </c>
      <c r="T122" s="87" t="s">
        <v>7</v>
      </c>
      <c r="U122" s="87" t="s">
        <v>8</v>
      </c>
      <c r="V122" s="87" t="s">
        <v>9</v>
      </c>
      <c r="W122" s="87" t="s">
        <v>0</v>
      </c>
    </row>
    <row r="123" spans="3:23" x14ac:dyDescent="0.2">
      <c r="C123" s="95"/>
      <c r="D123" s="4"/>
      <c r="E123" s="12">
        <f>K123-(K123*0.1)-$G$3-G123</f>
        <v>-740</v>
      </c>
      <c r="F123" s="4"/>
      <c r="G123" s="4">
        <v>500</v>
      </c>
      <c r="H123" s="4"/>
      <c r="I123" s="4"/>
      <c r="J123" s="4"/>
      <c r="K123" s="4"/>
      <c r="L123" s="11">
        <f>(E123+G123)/G123</f>
        <v>-0.48</v>
      </c>
      <c r="N123" s="97"/>
      <c r="O123" s="4"/>
      <c r="P123" s="88">
        <f>V123-(V123*0.1)-$G$3-R123</f>
        <v>-740</v>
      </c>
      <c r="Q123" s="87"/>
      <c r="R123" s="87">
        <v>500</v>
      </c>
      <c r="S123" s="87"/>
      <c r="T123" s="87"/>
      <c r="U123" s="87"/>
      <c r="V123" s="87"/>
      <c r="W123" s="89">
        <f>(P123+R123)/R123</f>
        <v>-0.48</v>
      </c>
    </row>
    <row r="124" spans="3:23" ht="32.5" x14ac:dyDescent="0.2">
      <c r="C124" s="8"/>
      <c r="N124" s="8"/>
    </row>
    <row r="125" spans="3:23" ht="19" x14ac:dyDescent="0.2">
      <c r="C125" s="109">
        <v>41</v>
      </c>
      <c r="D125" s="4" t="s">
        <v>13</v>
      </c>
      <c r="E125" s="106" t="s">
        <v>190</v>
      </c>
      <c r="F125" s="106"/>
      <c r="G125" s="106"/>
      <c r="H125" s="106"/>
      <c r="I125" s="106"/>
      <c r="J125" s="106"/>
      <c r="K125" s="106"/>
      <c r="L125" s="106"/>
      <c r="N125" s="104">
        <v>42</v>
      </c>
      <c r="O125" s="4" t="s">
        <v>176</v>
      </c>
      <c r="P125" s="106" t="s">
        <v>191</v>
      </c>
      <c r="Q125" s="106"/>
      <c r="R125" s="106"/>
      <c r="S125" s="106"/>
      <c r="T125" s="106"/>
      <c r="U125" s="106"/>
      <c r="V125" s="106"/>
      <c r="W125" s="106"/>
    </row>
    <row r="126" spans="3:23" ht="55" customHeight="1" x14ac:dyDescent="0.2">
      <c r="C126" s="109"/>
      <c r="D126" s="4" t="s">
        <v>16</v>
      </c>
      <c r="E126" s="102" t="s">
        <v>263</v>
      </c>
      <c r="F126" s="103"/>
      <c r="G126" s="103"/>
      <c r="H126" s="103"/>
      <c r="I126" s="103"/>
      <c r="J126" s="103"/>
      <c r="K126" s="103"/>
      <c r="L126" s="103"/>
      <c r="N126" s="104"/>
      <c r="O126" s="4" t="s">
        <v>16</v>
      </c>
      <c r="P126" s="102" t="s">
        <v>192</v>
      </c>
      <c r="Q126" s="103"/>
      <c r="R126" s="103"/>
      <c r="S126" s="103"/>
      <c r="T126" s="103"/>
      <c r="U126" s="103"/>
      <c r="V126" s="103"/>
      <c r="W126" s="103"/>
    </row>
    <row r="127" spans="3:23" ht="55" customHeight="1" x14ac:dyDescent="0.2">
      <c r="C127" s="109"/>
      <c r="D127" s="5" t="s">
        <v>14</v>
      </c>
      <c r="E127" s="103"/>
      <c r="F127" s="103"/>
      <c r="G127" s="103"/>
      <c r="H127" s="103"/>
      <c r="I127" s="103"/>
      <c r="J127" s="103"/>
      <c r="K127" s="103"/>
      <c r="L127" s="103"/>
      <c r="N127" s="104"/>
      <c r="O127" s="5" t="s">
        <v>14</v>
      </c>
      <c r="P127" s="103"/>
      <c r="Q127" s="103"/>
      <c r="R127" s="103"/>
      <c r="S127" s="103"/>
      <c r="T127" s="103"/>
      <c r="U127" s="103"/>
      <c r="V127" s="103"/>
      <c r="W127" s="103"/>
    </row>
    <row r="128" spans="3:23" x14ac:dyDescent="0.2">
      <c r="C128" s="109"/>
      <c r="D128" s="4"/>
      <c r="E128" s="6" t="s">
        <v>4</v>
      </c>
      <c r="F128" s="6" t="s">
        <v>5</v>
      </c>
      <c r="G128" s="6" t="s">
        <v>10</v>
      </c>
      <c r="H128" s="6" t="s">
        <v>6</v>
      </c>
      <c r="I128" s="6" t="s">
        <v>7</v>
      </c>
      <c r="J128" s="6" t="s">
        <v>8</v>
      </c>
      <c r="K128" s="6" t="s">
        <v>9</v>
      </c>
      <c r="L128" s="6" t="s">
        <v>0</v>
      </c>
      <c r="N128" s="104"/>
      <c r="O128" s="4"/>
      <c r="P128" s="6" t="s">
        <v>4</v>
      </c>
      <c r="Q128" s="6" t="s">
        <v>5</v>
      </c>
      <c r="R128" s="6" t="s">
        <v>10</v>
      </c>
      <c r="S128" s="6" t="s">
        <v>6</v>
      </c>
      <c r="T128" s="6" t="s">
        <v>7</v>
      </c>
      <c r="U128" s="6" t="s">
        <v>8</v>
      </c>
      <c r="V128" s="6" t="s">
        <v>9</v>
      </c>
      <c r="W128" s="6" t="s">
        <v>0</v>
      </c>
    </row>
    <row r="129" spans="3:23" x14ac:dyDescent="0.2">
      <c r="C129" s="109"/>
      <c r="D129" s="4"/>
      <c r="E129" s="12">
        <f>K129-(K129*0.1)-$G$3-G129</f>
        <v>-740</v>
      </c>
      <c r="F129" s="4"/>
      <c r="G129" s="4">
        <v>500</v>
      </c>
      <c r="H129" s="4"/>
      <c r="I129" s="4"/>
      <c r="J129" s="4"/>
      <c r="K129" s="4"/>
      <c r="L129" s="11">
        <f>(E129+G129)/G129</f>
        <v>-0.48</v>
      </c>
      <c r="N129" s="104"/>
      <c r="O129" s="4"/>
      <c r="P129" s="12">
        <f>V129-(V129*0.1)-$G$3-R129</f>
        <v>-2240</v>
      </c>
      <c r="Q129" s="4"/>
      <c r="R129" s="4">
        <v>2000</v>
      </c>
      <c r="S129" s="4"/>
      <c r="T129" s="4"/>
      <c r="U129" s="4"/>
      <c r="V129" s="4"/>
      <c r="W129" s="11">
        <f>(P129+R129)/R129</f>
        <v>-0.12</v>
      </c>
    </row>
    <row r="131" spans="3:23" ht="19" x14ac:dyDescent="0.2">
      <c r="C131" s="104">
        <v>43</v>
      </c>
      <c r="D131" s="4" t="s">
        <v>13</v>
      </c>
      <c r="E131" s="96" t="s">
        <v>193</v>
      </c>
      <c r="F131" s="96"/>
      <c r="G131" s="96"/>
      <c r="H131" s="96"/>
      <c r="I131" s="96"/>
      <c r="J131" s="96"/>
      <c r="K131" s="96"/>
      <c r="L131" s="96"/>
      <c r="N131" s="105">
        <v>44</v>
      </c>
      <c r="O131" s="4" t="s">
        <v>13</v>
      </c>
      <c r="P131" s="106" t="s">
        <v>195</v>
      </c>
      <c r="Q131" s="106"/>
      <c r="R131" s="106"/>
      <c r="S131" s="106"/>
      <c r="T131" s="106"/>
      <c r="U131" s="106"/>
      <c r="V131" s="106"/>
      <c r="W131" s="106"/>
    </row>
    <row r="132" spans="3:23" ht="55" customHeight="1" x14ac:dyDescent="0.2">
      <c r="C132" s="104"/>
      <c r="D132" s="4" t="s">
        <v>16</v>
      </c>
      <c r="E132" s="100" t="s">
        <v>194</v>
      </c>
      <c r="F132" s="101"/>
      <c r="G132" s="101"/>
      <c r="H132" s="101"/>
      <c r="I132" s="101"/>
      <c r="J132" s="101"/>
      <c r="K132" s="101"/>
      <c r="L132" s="101"/>
      <c r="N132" s="105"/>
      <c r="O132" s="4" t="s">
        <v>16</v>
      </c>
      <c r="P132" s="102" t="s">
        <v>196</v>
      </c>
      <c r="Q132" s="103"/>
      <c r="R132" s="103"/>
      <c r="S132" s="103"/>
      <c r="T132" s="103"/>
      <c r="U132" s="103"/>
      <c r="V132" s="103"/>
      <c r="W132" s="103"/>
    </row>
    <row r="133" spans="3:23" ht="55" customHeight="1" x14ac:dyDescent="0.2">
      <c r="C133" s="104"/>
      <c r="D133" s="5" t="s">
        <v>14</v>
      </c>
      <c r="E133" s="101"/>
      <c r="F133" s="101"/>
      <c r="G133" s="101"/>
      <c r="H133" s="101"/>
      <c r="I133" s="101"/>
      <c r="J133" s="101"/>
      <c r="K133" s="101"/>
      <c r="L133" s="101"/>
      <c r="N133" s="105"/>
      <c r="O133" s="5" t="s">
        <v>14</v>
      </c>
      <c r="P133" s="103"/>
      <c r="Q133" s="103"/>
      <c r="R133" s="103"/>
      <c r="S133" s="103"/>
      <c r="T133" s="103"/>
      <c r="U133" s="103"/>
      <c r="V133" s="103"/>
      <c r="W133" s="103"/>
    </row>
    <row r="134" spans="3:23" x14ac:dyDescent="0.2">
      <c r="C134" s="104"/>
      <c r="D134" s="4"/>
      <c r="E134" s="87" t="s">
        <v>4</v>
      </c>
      <c r="F134" s="87" t="s">
        <v>5</v>
      </c>
      <c r="G134" s="87" t="s">
        <v>10</v>
      </c>
      <c r="H134" s="87" t="s">
        <v>6</v>
      </c>
      <c r="I134" s="87" t="s">
        <v>7</v>
      </c>
      <c r="J134" s="87" t="s">
        <v>8</v>
      </c>
      <c r="K134" s="87" t="s">
        <v>9</v>
      </c>
      <c r="L134" s="87" t="s">
        <v>0</v>
      </c>
      <c r="N134" s="105"/>
      <c r="O134" s="4"/>
      <c r="P134" s="6" t="s">
        <v>4</v>
      </c>
      <c r="Q134" s="6" t="s">
        <v>5</v>
      </c>
      <c r="R134" s="6" t="s">
        <v>10</v>
      </c>
      <c r="S134" s="6" t="s">
        <v>6</v>
      </c>
      <c r="T134" s="6" t="s">
        <v>7</v>
      </c>
      <c r="U134" s="6" t="s">
        <v>8</v>
      </c>
      <c r="V134" s="6" t="s">
        <v>9</v>
      </c>
      <c r="W134" s="6" t="s">
        <v>0</v>
      </c>
    </row>
    <row r="135" spans="3:23" x14ac:dyDescent="0.2">
      <c r="C135" s="104"/>
      <c r="D135" s="4"/>
      <c r="E135" s="88">
        <f>K135-(K135*0.1)-$G$3-G135</f>
        <v>1509.1</v>
      </c>
      <c r="F135" s="87"/>
      <c r="G135" s="87">
        <v>500</v>
      </c>
      <c r="H135" s="87"/>
      <c r="I135" s="87"/>
      <c r="J135" s="87"/>
      <c r="K135" s="87">
        <v>2499</v>
      </c>
      <c r="L135" s="89">
        <f>(E135+G135)/G135</f>
        <v>4.0182000000000002</v>
      </c>
      <c r="N135" s="105"/>
      <c r="O135" s="4"/>
      <c r="P135" s="12">
        <f>V135-(V135*0.1)-$G$3-R135</f>
        <v>3259.1000000000004</v>
      </c>
      <c r="Q135" s="4"/>
      <c r="R135" s="4">
        <v>5500</v>
      </c>
      <c r="S135" s="4"/>
      <c r="T135" s="4"/>
      <c r="U135" s="4"/>
      <c r="V135" s="4">
        <v>9999</v>
      </c>
      <c r="W135" s="11">
        <f>(P135+R135)/R135</f>
        <v>1.5925636363636364</v>
      </c>
    </row>
    <row r="136" spans="3:23" ht="32.5" x14ac:dyDescent="0.2">
      <c r="C136" s="8"/>
      <c r="N136" s="8"/>
    </row>
    <row r="137" spans="3:23" ht="19" x14ac:dyDescent="0.2">
      <c r="C137" s="107">
        <v>45</v>
      </c>
      <c r="D137" s="4" t="s">
        <v>13</v>
      </c>
      <c r="E137" s="106" t="s">
        <v>197</v>
      </c>
      <c r="F137" s="106"/>
      <c r="G137" s="106"/>
      <c r="H137" s="106"/>
      <c r="I137" s="106"/>
      <c r="J137" s="106"/>
      <c r="K137" s="106"/>
      <c r="L137" s="106"/>
      <c r="N137" s="108">
        <v>46</v>
      </c>
      <c r="O137" s="4" t="s">
        <v>13</v>
      </c>
      <c r="P137" s="106" t="s">
        <v>199</v>
      </c>
      <c r="Q137" s="106"/>
      <c r="R137" s="106"/>
      <c r="S137" s="106"/>
      <c r="T137" s="106"/>
      <c r="U137" s="106"/>
      <c r="V137" s="106"/>
      <c r="W137" s="106"/>
    </row>
    <row r="138" spans="3:23" ht="55" customHeight="1" x14ac:dyDescent="0.2">
      <c r="C138" s="107"/>
      <c r="D138" s="4" t="s">
        <v>16</v>
      </c>
      <c r="E138" s="102" t="s">
        <v>198</v>
      </c>
      <c r="F138" s="103"/>
      <c r="G138" s="103"/>
      <c r="H138" s="103"/>
      <c r="I138" s="103"/>
      <c r="J138" s="103"/>
      <c r="K138" s="103"/>
      <c r="L138" s="103"/>
      <c r="N138" s="108"/>
      <c r="O138" s="4" t="s">
        <v>16</v>
      </c>
      <c r="P138" s="102" t="s">
        <v>202</v>
      </c>
      <c r="Q138" s="103"/>
      <c r="R138" s="103"/>
      <c r="S138" s="103"/>
      <c r="T138" s="103"/>
      <c r="U138" s="103"/>
      <c r="V138" s="103"/>
      <c r="W138" s="103"/>
    </row>
    <row r="139" spans="3:23" ht="55" customHeight="1" x14ac:dyDescent="0.2">
      <c r="C139" s="107"/>
      <c r="D139" s="5" t="s">
        <v>14</v>
      </c>
      <c r="E139" s="103"/>
      <c r="F139" s="103"/>
      <c r="G139" s="103"/>
      <c r="H139" s="103"/>
      <c r="I139" s="103"/>
      <c r="J139" s="103"/>
      <c r="K139" s="103"/>
      <c r="L139" s="103"/>
      <c r="N139" s="108"/>
      <c r="O139" s="5" t="s">
        <v>14</v>
      </c>
      <c r="P139" s="103"/>
      <c r="Q139" s="103"/>
      <c r="R139" s="103"/>
      <c r="S139" s="103"/>
      <c r="T139" s="103"/>
      <c r="U139" s="103"/>
      <c r="V139" s="103"/>
      <c r="W139" s="103"/>
    </row>
    <row r="140" spans="3:23" x14ac:dyDescent="0.2">
      <c r="C140" s="107"/>
      <c r="D140" s="4"/>
      <c r="E140" s="6" t="s">
        <v>4</v>
      </c>
      <c r="F140" s="6" t="s">
        <v>5</v>
      </c>
      <c r="G140" s="6" t="s">
        <v>10</v>
      </c>
      <c r="H140" s="6" t="s">
        <v>6</v>
      </c>
      <c r="I140" s="6" t="s">
        <v>7</v>
      </c>
      <c r="J140" s="6" t="s">
        <v>8</v>
      </c>
      <c r="K140" s="6" t="s">
        <v>9</v>
      </c>
      <c r="L140" s="6" t="s">
        <v>0</v>
      </c>
      <c r="N140" s="108"/>
      <c r="O140" s="4"/>
      <c r="P140" s="6" t="s">
        <v>4</v>
      </c>
      <c r="Q140" s="6" t="s">
        <v>5</v>
      </c>
      <c r="R140" s="6" t="s">
        <v>10</v>
      </c>
      <c r="S140" s="6" t="s">
        <v>6</v>
      </c>
      <c r="T140" s="6" t="s">
        <v>7</v>
      </c>
      <c r="U140" s="6" t="s">
        <v>8</v>
      </c>
      <c r="V140" s="6" t="s">
        <v>9</v>
      </c>
      <c r="W140" s="6" t="s">
        <v>0</v>
      </c>
    </row>
    <row r="141" spans="3:23" x14ac:dyDescent="0.2">
      <c r="C141" s="107"/>
      <c r="D141" s="4"/>
      <c r="E141" s="12">
        <f>K141-(K141*0.1)-$G$3-G141</f>
        <v>10360</v>
      </c>
      <c r="F141" s="4"/>
      <c r="G141" s="4">
        <v>2000</v>
      </c>
      <c r="H141" s="4"/>
      <c r="I141" s="4"/>
      <c r="J141" s="4"/>
      <c r="K141" s="4">
        <v>14000</v>
      </c>
      <c r="L141" s="11">
        <f>(E141+G141)/G141</f>
        <v>6.18</v>
      </c>
      <c r="N141" s="108"/>
      <c r="O141" s="4"/>
      <c r="P141" s="12">
        <f>V141-(V141*0.1)-$G$3-R141</f>
        <v>-840</v>
      </c>
      <c r="Q141" s="4"/>
      <c r="R141" s="4">
        <v>600</v>
      </c>
      <c r="S141" s="4"/>
      <c r="T141" s="4"/>
      <c r="U141" s="4"/>
      <c r="V141" s="4"/>
      <c r="W141" s="11">
        <f>(P141+R141)/R141</f>
        <v>-0.4</v>
      </c>
    </row>
    <row r="143" spans="3:23" ht="19" x14ac:dyDescent="0.2">
      <c r="C143" s="95">
        <v>47</v>
      </c>
      <c r="D143" s="4" t="s">
        <v>13</v>
      </c>
      <c r="E143" s="96" t="s">
        <v>200</v>
      </c>
      <c r="F143" s="96"/>
      <c r="G143" s="96"/>
      <c r="H143" s="96"/>
      <c r="I143" s="96"/>
      <c r="J143" s="96"/>
      <c r="K143" s="96"/>
      <c r="L143" s="96"/>
      <c r="N143" s="97">
        <v>48</v>
      </c>
      <c r="O143" s="4" t="s">
        <v>13</v>
      </c>
      <c r="P143" s="99"/>
      <c r="Q143" s="99"/>
      <c r="R143" s="99"/>
      <c r="S143" s="99"/>
      <c r="T143" s="99"/>
      <c r="U143" s="99"/>
      <c r="V143" s="99"/>
      <c r="W143" s="99"/>
    </row>
    <row r="144" spans="3:23" ht="55" customHeight="1" x14ac:dyDescent="0.2">
      <c r="C144" s="95"/>
      <c r="D144" s="4" t="s">
        <v>16</v>
      </c>
      <c r="E144" s="100" t="s">
        <v>201</v>
      </c>
      <c r="F144" s="101"/>
      <c r="G144" s="101"/>
      <c r="H144" s="101"/>
      <c r="I144" s="101"/>
      <c r="J144" s="101"/>
      <c r="K144" s="101"/>
      <c r="L144" s="101"/>
      <c r="N144" s="98"/>
      <c r="O144" s="4" t="s">
        <v>16</v>
      </c>
      <c r="P144" s="102"/>
      <c r="Q144" s="103"/>
      <c r="R144" s="103"/>
      <c r="S144" s="103"/>
      <c r="T144" s="103"/>
      <c r="U144" s="103"/>
      <c r="V144" s="103"/>
      <c r="W144" s="103"/>
    </row>
    <row r="145" spans="3:23" ht="55" customHeight="1" x14ac:dyDescent="0.2">
      <c r="C145" s="95"/>
      <c r="D145" s="5" t="s">
        <v>14</v>
      </c>
      <c r="E145" s="101"/>
      <c r="F145" s="101"/>
      <c r="G145" s="101"/>
      <c r="H145" s="101"/>
      <c r="I145" s="101"/>
      <c r="J145" s="101"/>
      <c r="K145" s="101"/>
      <c r="L145" s="101"/>
      <c r="N145" s="98"/>
      <c r="O145" s="5" t="s">
        <v>14</v>
      </c>
      <c r="P145" s="103"/>
      <c r="Q145" s="103"/>
      <c r="R145" s="103"/>
      <c r="S145" s="103"/>
      <c r="T145" s="103"/>
      <c r="U145" s="103"/>
      <c r="V145" s="103"/>
      <c r="W145" s="103"/>
    </row>
    <row r="146" spans="3:23" x14ac:dyDescent="0.2">
      <c r="C146" s="95"/>
      <c r="D146" s="4"/>
      <c r="E146" s="87" t="s">
        <v>4</v>
      </c>
      <c r="F146" s="87" t="s">
        <v>5</v>
      </c>
      <c r="G146" s="87" t="s">
        <v>10</v>
      </c>
      <c r="H146" s="87" t="s">
        <v>6</v>
      </c>
      <c r="I146" s="87" t="s">
        <v>7</v>
      </c>
      <c r="J146" s="87" t="s">
        <v>8</v>
      </c>
      <c r="K146" s="87" t="s">
        <v>9</v>
      </c>
      <c r="L146" s="87" t="s">
        <v>0</v>
      </c>
      <c r="N146" s="98"/>
      <c r="O146" s="4"/>
      <c r="P146" s="6" t="s">
        <v>4</v>
      </c>
      <c r="Q146" s="6" t="s">
        <v>5</v>
      </c>
      <c r="R146" s="6" t="s">
        <v>10</v>
      </c>
      <c r="S146" s="6" t="s">
        <v>6</v>
      </c>
      <c r="T146" s="6" t="s">
        <v>7</v>
      </c>
      <c r="U146" s="6" t="s">
        <v>8</v>
      </c>
      <c r="V146" s="6" t="s">
        <v>9</v>
      </c>
      <c r="W146" s="6" t="s">
        <v>0</v>
      </c>
    </row>
    <row r="147" spans="3:23" x14ac:dyDescent="0.2">
      <c r="C147" s="95"/>
      <c r="D147" s="4"/>
      <c r="E147" s="88">
        <f>K147-(K147*0.1)-$G$3-G147</f>
        <v>380</v>
      </c>
      <c r="F147" s="87">
        <v>0</v>
      </c>
      <c r="G147" s="87">
        <v>1000</v>
      </c>
      <c r="H147" s="87">
        <v>0</v>
      </c>
      <c r="I147" s="87">
        <v>0</v>
      </c>
      <c r="J147" s="87">
        <v>0</v>
      </c>
      <c r="K147" s="87">
        <v>1800</v>
      </c>
      <c r="L147" s="89">
        <f>(E147+G147)/G147</f>
        <v>1.38</v>
      </c>
      <c r="N147" s="98"/>
      <c r="O147" s="4"/>
      <c r="P147" s="12">
        <f>V147-(V147*0.1)-$G$3-R147</f>
        <v>-240</v>
      </c>
      <c r="Q147" s="4">
        <v>0</v>
      </c>
      <c r="R147" s="4">
        <v>0</v>
      </c>
      <c r="S147" s="4">
        <v>0</v>
      </c>
      <c r="T147" s="4">
        <v>0</v>
      </c>
      <c r="U147" s="4">
        <v>0</v>
      </c>
      <c r="V147" s="4">
        <v>0</v>
      </c>
      <c r="W147" s="11" t="e">
        <f>(P147+R147)/R147</f>
        <v>#DIV/0!</v>
      </c>
    </row>
    <row r="149" spans="3:23" ht="19" x14ac:dyDescent="0.2">
      <c r="C149" s="104">
        <v>43</v>
      </c>
      <c r="D149" s="4" t="s">
        <v>13</v>
      </c>
      <c r="E149" s="106" t="s">
        <v>209</v>
      </c>
      <c r="F149" s="106"/>
      <c r="G149" s="106"/>
      <c r="H149" s="106"/>
      <c r="I149" s="106"/>
      <c r="J149" s="106"/>
      <c r="K149" s="106"/>
      <c r="L149" s="106"/>
      <c r="N149" s="105">
        <v>44</v>
      </c>
      <c r="O149" s="4" t="s">
        <v>13</v>
      </c>
      <c r="P149" s="106" t="s">
        <v>211</v>
      </c>
      <c r="Q149" s="106"/>
      <c r="R149" s="106"/>
      <c r="S149" s="106"/>
      <c r="T149" s="106"/>
      <c r="U149" s="106"/>
      <c r="V149" s="106"/>
      <c r="W149" s="106"/>
    </row>
    <row r="150" spans="3:23" ht="55" customHeight="1" x14ac:dyDescent="0.2">
      <c r="C150" s="104"/>
      <c r="D150" s="4" t="s">
        <v>16</v>
      </c>
      <c r="E150" s="102" t="s">
        <v>210</v>
      </c>
      <c r="F150" s="103"/>
      <c r="G150" s="103"/>
      <c r="H150" s="103"/>
      <c r="I150" s="103"/>
      <c r="J150" s="103"/>
      <c r="K150" s="103"/>
      <c r="L150" s="103"/>
      <c r="N150" s="105"/>
      <c r="O150" s="4" t="s">
        <v>16</v>
      </c>
      <c r="P150" s="102" t="s">
        <v>212</v>
      </c>
      <c r="Q150" s="103"/>
      <c r="R150" s="103"/>
      <c r="S150" s="103"/>
      <c r="T150" s="103"/>
      <c r="U150" s="103"/>
      <c r="V150" s="103"/>
      <c r="W150" s="103"/>
    </row>
    <row r="151" spans="3:23" ht="55" customHeight="1" x14ac:dyDescent="0.2">
      <c r="C151" s="104"/>
      <c r="D151" s="5" t="s">
        <v>14</v>
      </c>
      <c r="E151" s="103"/>
      <c r="F151" s="103"/>
      <c r="G151" s="103"/>
      <c r="H151" s="103"/>
      <c r="I151" s="103"/>
      <c r="J151" s="103"/>
      <c r="K151" s="103"/>
      <c r="L151" s="103"/>
      <c r="N151" s="105"/>
      <c r="O151" s="5" t="s">
        <v>14</v>
      </c>
      <c r="P151" s="103"/>
      <c r="Q151" s="103"/>
      <c r="R151" s="103"/>
      <c r="S151" s="103"/>
      <c r="T151" s="103"/>
      <c r="U151" s="103"/>
      <c r="V151" s="103"/>
      <c r="W151" s="103"/>
    </row>
    <row r="152" spans="3:23" x14ac:dyDescent="0.2">
      <c r="C152" s="104"/>
      <c r="D152" s="4"/>
      <c r="E152" s="6" t="s">
        <v>4</v>
      </c>
      <c r="F152" s="6" t="s">
        <v>5</v>
      </c>
      <c r="G152" s="6" t="s">
        <v>10</v>
      </c>
      <c r="H152" s="6" t="s">
        <v>6</v>
      </c>
      <c r="I152" s="6" t="s">
        <v>7</v>
      </c>
      <c r="J152" s="6" t="s">
        <v>8</v>
      </c>
      <c r="K152" s="6" t="s">
        <v>9</v>
      </c>
      <c r="L152" s="6" t="s">
        <v>0</v>
      </c>
      <c r="N152" s="105"/>
      <c r="O152" s="4"/>
      <c r="P152" s="6" t="s">
        <v>4</v>
      </c>
      <c r="Q152" s="6" t="s">
        <v>5</v>
      </c>
      <c r="R152" s="6" t="s">
        <v>10</v>
      </c>
      <c r="S152" s="6" t="s">
        <v>6</v>
      </c>
      <c r="T152" s="6" t="s">
        <v>7</v>
      </c>
      <c r="U152" s="6" t="s">
        <v>8</v>
      </c>
      <c r="V152" s="6" t="s">
        <v>9</v>
      </c>
      <c r="W152" s="6" t="s">
        <v>0</v>
      </c>
    </row>
    <row r="153" spans="3:23" x14ac:dyDescent="0.2">
      <c r="C153" s="104"/>
      <c r="D153" s="4"/>
      <c r="E153" s="12">
        <f>K153-(K153*0.1)-$G$3-G153</f>
        <v>6759.1</v>
      </c>
      <c r="F153" s="4"/>
      <c r="G153" s="4">
        <v>2000</v>
      </c>
      <c r="H153" s="4"/>
      <c r="I153" s="4"/>
      <c r="J153" s="4"/>
      <c r="K153" s="4">
        <v>9999</v>
      </c>
      <c r="L153" s="11">
        <f>(E153+G153)/G153</f>
        <v>4.3795500000000001</v>
      </c>
      <c r="N153" s="105"/>
      <c r="O153" s="4"/>
      <c r="P153" s="12">
        <f>V153-(V153*0.1)-$G$3-R153</f>
        <v>409.10000000000036</v>
      </c>
      <c r="Q153" s="4"/>
      <c r="R153" s="4">
        <v>7000</v>
      </c>
      <c r="S153" s="4"/>
      <c r="T153" s="4"/>
      <c r="U153" s="4"/>
      <c r="V153" s="4">
        <v>8499</v>
      </c>
      <c r="W153" s="11">
        <f>(P153+R153)/R153</f>
        <v>1.0584428571428572</v>
      </c>
    </row>
  </sheetData>
  <mergeCells count="152">
    <mergeCell ref="V2:W2"/>
    <mergeCell ref="C71:C75"/>
    <mergeCell ref="E71:L71"/>
    <mergeCell ref="N71:N75"/>
    <mergeCell ref="P71:W71"/>
    <mergeCell ref="E72:L73"/>
    <mergeCell ref="P72:W73"/>
    <mergeCell ref="E65:L65"/>
    <mergeCell ref="P65:W65"/>
    <mergeCell ref="E66:L67"/>
    <mergeCell ref="P66:W67"/>
    <mergeCell ref="C65:C69"/>
    <mergeCell ref="N65:N69"/>
    <mergeCell ref="C59:C63"/>
    <mergeCell ref="E59:L59"/>
    <mergeCell ref="N59:N63"/>
    <mergeCell ref="C17:C21"/>
    <mergeCell ref="E17:L17"/>
    <mergeCell ref="P11:W11"/>
    <mergeCell ref="P12:W13"/>
    <mergeCell ref="E6:L7"/>
    <mergeCell ref="E5:L5"/>
    <mergeCell ref="E18:L19"/>
    <mergeCell ref="P18:W19"/>
    <mergeCell ref="C149:C153"/>
    <mergeCell ref="E149:L149"/>
    <mergeCell ref="N149:N153"/>
    <mergeCell ref="P149:W149"/>
    <mergeCell ref="E150:L151"/>
    <mergeCell ref="P150:W151"/>
    <mergeCell ref="C5:C9"/>
    <mergeCell ref="C11:C15"/>
    <mergeCell ref="E11:L11"/>
    <mergeCell ref="E12:L13"/>
    <mergeCell ref="C29:C33"/>
    <mergeCell ref="E29:L29"/>
    <mergeCell ref="N29:N33"/>
    <mergeCell ref="P29:W29"/>
    <mergeCell ref="E30:L31"/>
    <mergeCell ref="P30:W31"/>
    <mergeCell ref="C23:C27"/>
    <mergeCell ref="E23:L23"/>
    <mergeCell ref="N23:N27"/>
    <mergeCell ref="P23:W23"/>
    <mergeCell ref="E24:L25"/>
    <mergeCell ref="P24:W25"/>
    <mergeCell ref="N17:N21"/>
    <mergeCell ref="P17:W17"/>
    <mergeCell ref="N5:N9"/>
    <mergeCell ref="P5:W5"/>
    <mergeCell ref="P6:W7"/>
    <mergeCell ref="N11:N15"/>
    <mergeCell ref="C41:C45"/>
    <mergeCell ref="E41:L41"/>
    <mergeCell ref="N41:N45"/>
    <mergeCell ref="P41:W41"/>
    <mergeCell ref="E42:L43"/>
    <mergeCell ref="P42:W43"/>
    <mergeCell ref="C35:C39"/>
    <mergeCell ref="E35:L35"/>
    <mergeCell ref="N35:N39"/>
    <mergeCell ref="P35:W35"/>
    <mergeCell ref="E36:L37"/>
    <mergeCell ref="P36:W37"/>
    <mergeCell ref="P84:W85"/>
    <mergeCell ref="C77:C81"/>
    <mergeCell ref="E77:L77"/>
    <mergeCell ref="N77:N81"/>
    <mergeCell ref="P77:W77"/>
    <mergeCell ref="E78:L79"/>
    <mergeCell ref="P78:W79"/>
    <mergeCell ref="C47:C51"/>
    <mergeCell ref="E47:L47"/>
    <mergeCell ref="N47:N51"/>
    <mergeCell ref="P47:W47"/>
    <mergeCell ref="E48:L49"/>
    <mergeCell ref="P48:W49"/>
    <mergeCell ref="P59:W59"/>
    <mergeCell ref="E60:L61"/>
    <mergeCell ref="P60:W61"/>
    <mergeCell ref="C53:C57"/>
    <mergeCell ref="E53:L53"/>
    <mergeCell ref="N53:N57"/>
    <mergeCell ref="P53:W53"/>
    <mergeCell ref="E54:L55"/>
    <mergeCell ref="P54:W55"/>
    <mergeCell ref="U1:W1"/>
    <mergeCell ref="C101:C105"/>
    <mergeCell ref="E101:L101"/>
    <mergeCell ref="N101:N105"/>
    <mergeCell ref="P101:W101"/>
    <mergeCell ref="E102:L103"/>
    <mergeCell ref="P102:W103"/>
    <mergeCell ref="C95:C99"/>
    <mergeCell ref="E95:L95"/>
    <mergeCell ref="N95:N99"/>
    <mergeCell ref="P95:W95"/>
    <mergeCell ref="E96:L97"/>
    <mergeCell ref="P96:W97"/>
    <mergeCell ref="C89:C93"/>
    <mergeCell ref="E89:L89"/>
    <mergeCell ref="N89:N93"/>
    <mergeCell ref="P89:W89"/>
    <mergeCell ref="E90:L91"/>
    <mergeCell ref="P90:W91"/>
    <mergeCell ref="C83:C87"/>
    <mergeCell ref="E83:L83"/>
    <mergeCell ref="N83:N87"/>
    <mergeCell ref="P83:W83"/>
    <mergeCell ref="E84:L85"/>
    <mergeCell ref="C107:C111"/>
    <mergeCell ref="E107:L107"/>
    <mergeCell ref="N107:N111"/>
    <mergeCell ref="P107:W107"/>
    <mergeCell ref="E108:L109"/>
    <mergeCell ref="P108:W109"/>
    <mergeCell ref="C113:C117"/>
    <mergeCell ref="E113:L113"/>
    <mergeCell ref="N113:N117"/>
    <mergeCell ref="P113:W113"/>
    <mergeCell ref="E114:L115"/>
    <mergeCell ref="P114:W115"/>
    <mergeCell ref="C119:C123"/>
    <mergeCell ref="E119:L119"/>
    <mergeCell ref="N119:N123"/>
    <mergeCell ref="P119:W119"/>
    <mergeCell ref="E120:L121"/>
    <mergeCell ref="P120:W121"/>
    <mergeCell ref="C125:C129"/>
    <mergeCell ref="E125:L125"/>
    <mergeCell ref="N125:N129"/>
    <mergeCell ref="P125:W125"/>
    <mergeCell ref="E126:L127"/>
    <mergeCell ref="P126:W127"/>
    <mergeCell ref="C143:C147"/>
    <mergeCell ref="E143:L143"/>
    <mergeCell ref="N143:N147"/>
    <mergeCell ref="P143:W143"/>
    <mergeCell ref="E144:L145"/>
    <mergeCell ref="P144:W145"/>
    <mergeCell ref="C131:C135"/>
    <mergeCell ref="E131:L131"/>
    <mergeCell ref="N131:N135"/>
    <mergeCell ref="P131:W131"/>
    <mergeCell ref="E132:L133"/>
    <mergeCell ref="P132:W133"/>
    <mergeCell ref="C137:C141"/>
    <mergeCell ref="E137:L137"/>
    <mergeCell ref="N137:N141"/>
    <mergeCell ref="P137:W137"/>
    <mergeCell ref="E138:L139"/>
    <mergeCell ref="P138:W139"/>
  </mergeCells>
  <phoneticPr fontId="2"/>
  <hyperlinks>
    <hyperlink ref="D7" r:id="rId1"/>
    <hyperlink ref="D13" r:id="rId2"/>
    <hyperlink ref="O7" r:id="rId3"/>
    <hyperlink ref="O13" r:id="rId4"/>
    <hyperlink ref="D19" r:id="rId5"/>
    <hyperlink ref="D25" r:id="rId6"/>
    <hyperlink ref="O19" r:id="rId7"/>
    <hyperlink ref="O25" r:id="rId8"/>
    <hyperlink ref="D31" r:id="rId9"/>
    <hyperlink ref="O31" r:id="rId10"/>
    <hyperlink ref="D37" r:id="rId11"/>
    <hyperlink ref="O37" r:id="rId12"/>
    <hyperlink ref="D43" r:id="rId13"/>
    <hyperlink ref="O43" r:id="rId14"/>
    <hyperlink ref="D49" r:id="rId15"/>
    <hyperlink ref="O49" r:id="rId16"/>
    <hyperlink ref="D55" r:id="rId17"/>
    <hyperlink ref="O55" r:id="rId18"/>
    <hyperlink ref="D61" r:id="rId19"/>
    <hyperlink ref="O61" r:id="rId20"/>
    <hyperlink ref="D67" r:id="rId21"/>
    <hyperlink ref="O67" r:id="rId22"/>
    <hyperlink ref="D73" r:id="rId23"/>
    <hyperlink ref="O73" r:id="rId24"/>
    <hyperlink ref="D79" r:id="rId25"/>
    <hyperlink ref="O79" r:id="rId26"/>
    <hyperlink ref="D85" r:id="rId27"/>
    <hyperlink ref="O85" r:id="rId28"/>
    <hyperlink ref="D91" r:id="rId29"/>
    <hyperlink ref="O91" r:id="rId30"/>
    <hyperlink ref="D97" r:id="rId31"/>
    <hyperlink ref="O97" r:id="rId32"/>
    <hyperlink ref="O103" r:id="rId33"/>
    <hyperlink ref="D103" r:id="rId34"/>
    <hyperlink ref="D109" r:id="rId35"/>
    <hyperlink ref="O109" r:id="rId36"/>
    <hyperlink ref="D115" r:id="rId37"/>
    <hyperlink ref="O115" r:id="rId38"/>
    <hyperlink ref="D121" r:id="rId39"/>
    <hyperlink ref="O121" r:id="rId40"/>
    <hyperlink ref="D127" r:id="rId41"/>
    <hyperlink ref="O127" r:id="rId42"/>
    <hyperlink ref="D139" r:id="rId43"/>
    <hyperlink ref="O139" r:id="rId44"/>
    <hyperlink ref="O133" r:id="rId45"/>
    <hyperlink ref="D133" r:id="rId46"/>
    <hyperlink ref="D145" r:id="rId47"/>
    <hyperlink ref="O145" r:id="rId48"/>
    <hyperlink ref="O151" r:id="rId49"/>
    <hyperlink ref="D151" r:id="rId50"/>
  </hyperlinks>
  <pageMargins left="0.7" right="0.7" top="0.75" bottom="0.75" header="0.3" footer="0.3"/>
  <pageSetup paperSize="9" orientation="portrait" r:id="rId5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R111"/>
  <sheetViews>
    <sheetView zoomScale="130" zoomScaleNormal="130" workbookViewId="0">
      <pane xSplit="1" ySplit="3" topLeftCell="B4" activePane="bottomRight" state="frozen"/>
      <selection pane="topRight" activeCell="B1" sqref="B1"/>
      <selection pane="bottomLeft" activeCell="A4" sqref="A4"/>
      <selection pane="bottomRight" activeCell="G4" sqref="G4"/>
    </sheetView>
  </sheetViews>
  <sheetFormatPr defaultRowHeight="13" x14ac:dyDescent="0.2"/>
  <cols>
    <col min="7" max="7" width="9.54296875" bestFit="1" customWidth="1"/>
  </cols>
  <sheetData>
    <row r="2" spans="2:18" x14ac:dyDescent="0.2">
      <c r="B2" s="19" t="s">
        <v>43</v>
      </c>
      <c r="C2" s="19" t="s">
        <v>1</v>
      </c>
      <c r="D2" s="20" t="s">
        <v>4</v>
      </c>
      <c r="E2" s="19" t="s">
        <v>154</v>
      </c>
      <c r="F2" s="19" t="s">
        <v>45</v>
      </c>
      <c r="G2" s="19" t="s">
        <v>3</v>
      </c>
      <c r="H2" s="19" t="s">
        <v>44</v>
      </c>
      <c r="L2" s="14"/>
      <c r="M2" s="14" t="s">
        <v>39</v>
      </c>
      <c r="N2" s="14" t="s">
        <v>40</v>
      </c>
      <c r="O2" s="14" t="s">
        <v>41</v>
      </c>
      <c r="P2" s="15" t="s">
        <v>36</v>
      </c>
      <c r="Q2" s="55" t="s">
        <v>38</v>
      </c>
      <c r="R2" s="16" t="s">
        <v>37</v>
      </c>
    </row>
    <row r="3" spans="2:18" ht="17.399999999999999" customHeight="1" x14ac:dyDescent="0.2">
      <c r="B3" s="21">
        <f>F9+F15+F21+F27+F33+F39+F45+F51+F57+F63+F69+F75+F81+F87+F93+F99+F105+F111</f>
        <v>94420</v>
      </c>
      <c r="C3" s="19">
        <f>J9+J15+J21+J27+J33+J39+J45+J51+J57+J63+J69+J75+J81+J87+J93+J99+J105+J111</f>
        <v>118190</v>
      </c>
      <c r="D3" s="22">
        <f>D9+D15+D21+D27+D33+D39+D45+D51+D57+D63+D69+D75+D81+D87+D93+D99+D105+D111</f>
        <v>6176.0000000000045</v>
      </c>
      <c r="E3" s="62">
        <f>C3/(C3-D3)</f>
        <v>1.0551359651472136</v>
      </c>
      <c r="F3" s="23">
        <f>C3-B3</f>
        <v>23770</v>
      </c>
      <c r="G3" s="21">
        <f>C3-B3-D3</f>
        <v>17593.999999999996</v>
      </c>
      <c r="H3" s="62">
        <f>G3/C3</f>
        <v>0.14886200186140958</v>
      </c>
      <c r="L3" s="13" t="s">
        <v>2</v>
      </c>
      <c r="M3" s="13">
        <v>20</v>
      </c>
      <c r="N3" s="13">
        <v>5</v>
      </c>
      <c r="O3" s="13">
        <v>215</v>
      </c>
      <c r="P3" s="13">
        <f>M3+N3+O3</f>
        <v>240</v>
      </c>
      <c r="Q3" s="13">
        <v>730</v>
      </c>
      <c r="R3" s="13">
        <v>850</v>
      </c>
    </row>
    <row r="5" spans="2:18" ht="19" x14ac:dyDescent="0.2">
      <c r="B5" s="121">
        <v>7</v>
      </c>
      <c r="C5" s="24" t="s">
        <v>13</v>
      </c>
      <c r="D5" s="126" t="s">
        <v>28</v>
      </c>
      <c r="E5" s="126"/>
      <c r="F5" s="126"/>
      <c r="G5" s="126"/>
      <c r="H5" s="126"/>
      <c r="I5" s="126"/>
      <c r="J5" s="126"/>
      <c r="K5" s="126"/>
    </row>
    <row r="6" spans="2:18" x14ac:dyDescent="0.2">
      <c r="B6" s="121"/>
      <c r="C6" s="19" t="s">
        <v>16</v>
      </c>
      <c r="D6" s="123" t="s">
        <v>29</v>
      </c>
      <c r="E6" s="124"/>
      <c r="F6" s="124"/>
      <c r="G6" s="124"/>
      <c r="H6" s="124"/>
      <c r="I6" s="124"/>
      <c r="J6" s="124"/>
      <c r="K6" s="124"/>
    </row>
    <row r="7" spans="2:18" x14ac:dyDescent="0.2">
      <c r="B7" s="121"/>
      <c r="C7" s="25" t="s">
        <v>14</v>
      </c>
      <c r="D7" s="124"/>
      <c r="E7" s="124"/>
      <c r="F7" s="124"/>
      <c r="G7" s="124"/>
      <c r="H7" s="124"/>
      <c r="I7" s="124"/>
      <c r="J7" s="124"/>
      <c r="K7" s="124"/>
    </row>
    <row r="8" spans="2:18" x14ac:dyDescent="0.2">
      <c r="B8" s="121"/>
      <c r="C8" s="19"/>
      <c r="D8" s="20" t="s">
        <v>4</v>
      </c>
      <c r="E8" s="20" t="s">
        <v>5</v>
      </c>
      <c r="F8" s="20" t="s">
        <v>10</v>
      </c>
      <c r="G8" s="20" t="s">
        <v>6</v>
      </c>
      <c r="H8" s="20" t="s">
        <v>7</v>
      </c>
      <c r="I8" s="20" t="s">
        <v>8</v>
      </c>
      <c r="J8" s="20" t="s">
        <v>9</v>
      </c>
      <c r="K8" s="20" t="s">
        <v>0</v>
      </c>
    </row>
    <row r="9" spans="2:18" x14ac:dyDescent="0.2">
      <c r="B9" s="121"/>
      <c r="C9" s="19"/>
      <c r="D9" s="26">
        <f>(J9*0.9)-F9-$O$3</f>
        <v>1034.0999999999999</v>
      </c>
      <c r="E9" s="19">
        <v>3000</v>
      </c>
      <c r="F9" s="19">
        <v>1000</v>
      </c>
      <c r="G9" s="19">
        <v>4999</v>
      </c>
      <c r="H9" s="19" t="s">
        <v>34</v>
      </c>
      <c r="I9" s="19" t="s">
        <v>34</v>
      </c>
      <c r="J9" s="19">
        <v>2499</v>
      </c>
      <c r="K9" s="27">
        <f>(D9+F9)/F9</f>
        <v>2.0341</v>
      </c>
    </row>
    <row r="11" spans="2:18" ht="19" x14ac:dyDescent="0.2">
      <c r="B11" s="127">
        <v>10</v>
      </c>
      <c r="C11" s="28" t="s">
        <v>13</v>
      </c>
      <c r="D11" s="126" t="s">
        <v>32</v>
      </c>
      <c r="E11" s="126"/>
      <c r="F11" s="126"/>
      <c r="G11" s="126"/>
      <c r="H11" s="126"/>
      <c r="I11" s="126"/>
      <c r="J11" s="126"/>
      <c r="K11" s="126"/>
    </row>
    <row r="12" spans="2:18" x14ac:dyDescent="0.2">
      <c r="B12" s="127"/>
      <c r="C12" s="19" t="s">
        <v>16</v>
      </c>
      <c r="D12" s="123" t="s">
        <v>33</v>
      </c>
      <c r="E12" s="124"/>
      <c r="F12" s="124"/>
      <c r="G12" s="124"/>
      <c r="H12" s="124"/>
      <c r="I12" s="124"/>
      <c r="J12" s="124"/>
      <c r="K12" s="124"/>
    </row>
    <row r="13" spans="2:18" x14ac:dyDescent="0.2">
      <c r="B13" s="127"/>
      <c r="C13" s="25" t="s">
        <v>14</v>
      </c>
      <c r="D13" s="124"/>
      <c r="E13" s="124"/>
      <c r="F13" s="124"/>
      <c r="G13" s="124"/>
      <c r="H13" s="124"/>
      <c r="I13" s="124"/>
      <c r="J13" s="124"/>
      <c r="K13" s="124"/>
    </row>
    <row r="14" spans="2:18" x14ac:dyDescent="0.2">
      <c r="B14" s="127"/>
      <c r="C14" s="19"/>
      <c r="D14" s="20" t="s">
        <v>4</v>
      </c>
      <c r="E14" s="20" t="s">
        <v>5</v>
      </c>
      <c r="F14" s="20" t="s">
        <v>10</v>
      </c>
      <c r="G14" s="20" t="s">
        <v>6</v>
      </c>
      <c r="H14" s="20" t="s">
        <v>7</v>
      </c>
      <c r="I14" s="20" t="s">
        <v>8</v>
      </c>
      <c r="J14" s="20" t="s">
        <v>9</v>
      </c>
      <c r="K14" s="20" t="s">
        <v>0</v>
      </c>
    </row>
    <row r="15" spans="2:18" x14ac:dyDescent="0.2">
      <c r="B15" s="127"/>
      <c r="C15" s="19"/>
      <c r="D15" s="26">
        <f>(J15*0.9)-F15-$O$3</f>
        <v>115</v>
      </c>
      <c r="E15" s="19">
        <v>6000</v>
      </c>
      <c r="F15" s="19">
        <v>4620</v>
      </c>
      <c r="G15" s="19">
        <v>7500</v>
      </c>
      <c r="H15" s="19">
        <v>5850</v>
      </c>
      <c r="I15" s="19" t="s">
        <v>34</v>
      </c>
      <c r="J15" s="19">
        <v>5500</v>
      </c>
      <c r="K15" s="27">
        <f>(D15+F15)/F15</f>
        <v>1.024891774891775</v>
      </c>
    </row>
    <row r="17" spans="2:11" ht="19" x14ac:dyDescent="0.2">
      <c r="B17" s="121">
        <v>17</v>
      </c>
      <c r="C17" s="24" t="s">
        <v>13</v>
      </c>
      <c r="D17" s="122" t="s">
        <v>42</v>
      </c>
      <c r="E17" s="122"/>
      <c r="F17" s="122"/>
      <c r="G17" s="122"/>
      <c r="H17" s="122"/>
      <c r="I17" s="122"/>
      <c r="J17" s="122"/>
      <c r="K17" s="122"/>
    </row>
    <row r="18" spans="2:11" x14ac:dyDescent="0.2">
      <c r="B18" s="121"/>
      <c r="C18" s="19" t="s">
        <v>16</v>
      </c>
      <c r="D18" s="123"/>
      <c r="E18" s="124"/>
      <c r="F18" s="124"/>
      <c r="G18" s="124"/>
      <c r="H18" s="124"/>
      <c r="I18" s="124"/>
      <c r="J18" s="124"/>
      <c r="K18" s="124"/>
    </row>
    <row r="19" spans="2:11" x14ac:dyDescent="0.2">
      <c r="B19" s="121"/>
      <c r="C19" s="25" t="s">
        <v>14</v>
      </c>
      <c r="D19" s="124"/>
      <c r="E19" s="124"/>
      <c r="F19" s="124"/>
      <c r="G19" s="124"/>
      <c r="H19" s="124"/>
      <c r="I19" s="124"/>
      <c r="J19" s="124"/>
      <c r="K19" s="124"/>
    </row>
    <row r="20" spans="2:11" x14ac:dyDescent="0.2">
      <c r="B20" s="121"/>
      <c r="C20" s="19"/>
      <c r="D20" s="20" t="s">
        <v>4</v>
      </c>
      <c r="E20" s="20" t="s">
        <v>5</v>
      </c>
      <c r="F20" s="20" t="s">
        <v>10</v>
      </c>
      <c r="G20" s="20" t="s">
        <v>6</v>
      </c>
      <c r="H20" s="20" t="s">
        <v>7</v>
      </c>
      <c r="I20" s="20" t="s">
        <v>8</v>
      </c>
      <c r="J20" s="20" t="s">
        <v>9</v>
      </c>
      <c r="K20" s="20" t="s">
        <v>0</v>
      </c>
    </row>
    <row r="21" spans="2:11" x14ac:dyDescent="0.2">
      <c r="B21" s="121"/>
      <c r="C21" s="19"/>
      <c r="D21" s="26">
        <f>(J21*0.9)-F21-$O$3</f>
        <v>3284.1000000000004</v>
      </c>
      <c r="E21" s="19">
        <v>7000</v>
      </c>
      <c r="F21" s="19">
        <v>1000</v>
      </c>
      <c r="G21" s="19"/>
      <c r="H21" s="19"/>
      <c r="I21" s="19"/>
      <c r="J21" s="19">
        <v>4999</v>
      </c>
      <c r="K21" s="27">
        <f>(D21+F21)/F21</f>
        <v>4.2841000000000005</v>
      </c>
    </row>
    <row r="23" spans="2:11" ht="19" x14ac:dyDescent="0.2">
      <c r="B23" s="125">
        <v>9</v>
      </c>
      <c r="C23" s="29" t="s">
        <v>13</v>
      </c>
      <c r="D23" s="122" t="s">
        <v>30</v>
      </c>
      <c r="E23" s="122"/>
      <c r="F23" s="122"/>
      <c r="G23" s="122"/>
      <c r="H23" s="122"/>
      <c r="I23" s="122"/>
      <c r="J23" s="122"/>
      <c r="K23" s="122"/>
    </row>
    <row r="24" spans="2:11" x14ac:dyDescent="0.2">
      <c r="B24" s="125"/>
      <c r="C24" s="19" t="s">
        <v>16</v>
      </c>
      <c r="D24" s="123" t="s">
        <v>31</v>
      </c>
      <c r="E24" s="124"/>
      <c r="F24" s="124"/>
      <c r="G24" s="124"/>
      <c r="H24" s="124"/>
      <c r="I24" s="124"/>
      <c r="J24" s="124"/>
      <c r="K24" s="124"/>
    </row>
    <row r="25" spans="2:11" x14ac:dyDescent="0.2">
      <c r="B25" s="125"/>
      <c r="C25" s="25" t="s">
        <v>14</v>
      </c>
      <c r="D25" s="124"/>
      <c r="E25" s="124"/>
      <c r="F25" s="124"/>
      <c r="G25" s="124"/>
      <c r="H25" s="124"/>
      <c r="I25" s="124"/>
      <c r="J25" s="124"/>
      <c r="K25" s="124"/>
    </row>
    <row r="26" spans="2:11" x14ac:dyDescent="0.2">
      <c r="B26" s="125"/>
      <c r="C26" s="19"/>
      <c r="D26" s="20" t="s">
        <v>4</v>
      </c>
      <c r="E26" s="20" t="s">
        <v>5</v>
      </c>
      <c r="F26" s="20" t="s">
        <v>10</v>
      </c>
      <c r="G26" s="20" t="s">
        <v>6</v>
      </c>
      <c r="H26" s="20" t="s">
        <v>7</v>
      </c>
      <c r="I26" s="20" t="s">
        <v>8</v>
      </c>
      <c r="J26" s="20" t="s">
        <v>9</v>
      </c>
      <c r="K26" s="20" t="s">
        <v>0</v>
      </c>
    </row>
    <row r="27" spans="2:11" x14ac:dyDescent="0.2">
      <c r="B27" s="125"/>
      <c r="C27" s="19"/>
      <c r="D27" s="26">
        <f>(J27*0.9)-F27-$O$3</f>
        <v>1084.1000000000004</v>
      </c>
      <c r="E27" s="19">
        <v>9500</v>
      </c>
      <c r="F27" s="19">
        <v>5000</v>
      </c>
      <c r="G27" s="19">
        <v>9500</v>
      </c>
      <c r="H27" s="19">
        <v>8500</v>
      </c>
      <c r="I27" s="19">
        <v>5000</v>
      </c>
      <c r="J27" s="19">
        <v>6999</v>
      </c>
      <c r="K27" s="27">
        <f>(D27+F27)/F27</f>
        <v>1.21682</v>
      </c>
    </row>
    <row r="29" spans="2:11" ht="19.25" customHeight="1" x14ac:dyDescent="0.2">
      <c r="B29" s="108">
        <v>20</v>
      </c>
      <c r="C29" s="59" t="s">
        <v>13</v>
      </c>
      <c r="D29" s="111" t="s">
        <v>122</v>
      </c>
      <c r="E29" s="111"/>
      <c r="F29" s="111"/>
      <c r="G29" s="111"/>
      <c r="H29" s="111"/>
      <c r="I29" s="111"/>
      <c r="J29" s="111"/>
      <c r="K29" s="111"/>
    </row>
    <row r="30" spans="2:11" ht="13.25" customHeight="1" x14ac:dyDescent="0.2">
      <c r="B30" s="108"/>
      <c r="C30" s="59" t="s">
        <v>16</v>
      </c>
      <c r="D30" s="112" t="s">
        <v>123</v>
      </c>
      <c r="E30" s="113"/>
      <c r="F30" s="113"/>
      <c r="G30" s="113"/>
      <c r="H30" s="113"/>
      <c r="I30" s="113"/>
      <c r="J30" s="113"/>
      <c r="K30" s="113"/>
    </row>
    <row r="31" spans="2:11" ht="13.25" customHeight="1" x14ac:dyDescent="0.2">
      <c r="B31" s="108"/>
      <c r="C31" s="60" t="s">
        <v>14</v>
      </c>
      <c r="D31" s="113"/>
      <c r="E31" s="113"/>
      <c r="F31" s="113"/>
      <c r="G31" s="113"/>
      <c r="H31" s="113"/>
      <c r="I31" s="113"/>
      <c r="J31" s="113"/>
      <c r="K31" s="113"/>
    </row>
    <row r="32" spans="2:11" ht="13.25" customHeight="1" x14ac:dyDescent="0.2">
      <c r="B32" s="108"/>
      <c r="C32" s="4"/>
      <c r="D32" s="6" t="s">
        <v>4</v>
      </c>
      <c r="E32" s="6" t="s">
        <v>5</v>
      </c>
      <c r="F32" s="6" t="s">
        <v>10</v>
      </c>
      <c r="G32" s="6" t="s">
        <v>6</v>
      </c>
      <c r="H32" s="6" t="s">
        <v>7</v>
      </c>
      <c r="I32" s="6" t="s">
        <v>8</v>
      </c>
      <c r="J32" s="6" t="s">
        <v>9</v>
      </c>
      <c r="K32" s="6" t="s">
        <v>0</v>
      </c>
    </row>
    <row r="33" spans="2:11" ht="13.25" customHeight="1" x14ac:dyDescent="0.2">
      <c r="B33" s="108"/>
      <c r="C33" s="4"/>
      <c r="D33" s="26">
        <f>(J33*0.9)-F33-$O$3</f>
        <v>1034.0999999999999</v>
      </c>
      <c r="E33" s="4">
        <v>3000</v>
      </c>
      <c r="F33" s="4">
        <v>1000</v>
      </c>
      <c r="G33" s="4">
        <v>3999</v>
      </c>
      <c r="H33" s="4">
        <v>2500</v>
      </c>
      <c r="I33" s="4">
        <v>1000</v>
      </c>
      <c r="J33" s="4">
        <v>2499</v>
      </c>
      <c r="K33" s="11">
        <f>(D33+F33)/F33</f>
        <v>2.0341</v>
      </c>
    </row>
    <row r="35" spans="2:11" ht="19" x14ac:dyDescent="0.2">
      <c r="B35" s="105">
        <v>2</v>
      </c>
      <c r="C35" s="59" t="s">
        <v>13</v>
      </c>
      <c r="D35" s="111" t="s">
        <v>20</v>
      </c>
      <c r="E35" s="111"/>
      <c r="F35" s="111"/>
      <c r="G35" s="111"/>
      <c r="H35" s="111"/>
      <c r="I35" s="111"/>
      <c r="J35" s="111"/>
      <c r="K35" s="111"/>
    </row>
    <row r="36" spans="2:11" x14ac:dyDescent="0.2">
      <c r="B36" s="105"/>
      <c r="C36" s="59" t="s">
        <v>16</v>
      </c>
      <c r="D36" s="112" t="s">
        <v>15</v>
      </c>
      <c r="E36" s="113"/>
      <c r="F36" s="113"/>
      <c r="G36" s="113"/>
      <c r="H36" s="113"/>
      <c r="I36" s="113"/>
      <c r="J36" s="113"/>
      <c r="K36" s="113"/>
    </row>
    <row r="37" spans="2:11" x14ac:dyDescent="0.2">
      <c r="B37" s="105"/>
      <c r="C37" s="60" t="s">
        <v>14</v>
      </c>
      <c r="D37" s="113"/>
      <c r="E37" s="113"/>
      <c r="F37" s="113"/>
      <c r="G37" s="113"/>
      <c r="H37" s="113"/>
      <c r="I37" s="113"/>
      <c r="J37" s="113"/>
      <c r="K37" s="113"/>
    </row>
    <row r="38" spans="2:11" x14ac:dyDescent="0.2">
      <c r="B38" s="105"/>
      <c r="C38" s="4"/>
      <c r="D38" s="6" t="s">
        <v>4</v>
      </c>
      <c r="E38" s="6" t="s">
        <v>5</v>
      </c>
      <c r="F38" s="6" t="s">
        <v>10</v>
      </c>
      <c r="G38" s="6" t="s">
        <v>6</v>
      </c>
      <c r="H38" s="6" t="s">
        <v>7</v>
      </c>
      <c r="I38" s="6" t="s">
        <v>8</v>
      </c>
      <c r="J38" s="6" t="s">
        <v>9</v>
      </c>
      <c r="K38" s="6" t="s">
        <v>0</v>
      </c>
    </row>
    <row r="39" spans="2:11" x14ac:dyDescent="0.2">
      <c r="B39" s="105"/>
      <c r="C39" s="4"/>
      <c r="D39" s="26">
        <f>(J39*0.9)-F39-$O$3</f>
        <v>-3525</v>
      </c>
      <c r="E39" s="4">
        <v>11000</v>
      </c>
      <c r="F39" s="4">
        <v>8800</v>
      </c>
      <c r="G39" s="4">
        <v>12000</v>
      </c>
      <c r="H39" s="4">
        <v>9999</v>
      </c>
      <c r="I39" s="4">
        <v>5000</v>
      </c>
      <c r="J39" s="4">
        <v>6100</v>
      </c>
      <c r="K39" s="11">
        <f>(D39+F39)/F39</f>
        <v>0.59943181818181823</v>
      </c>
    </row>
    <row r="41" spans="2:11" ht="19" x14ac:dyDescent="0.2">
      <c r="B41" s="105"/>
      <c r="C41" s="59" t="s">
        <v>13</v>
      </c>
      <c r="D41" s="128" t="s">
        <v>133</v>
      </c>
      <c r="E41" s="111"/>
      <c r="F41" s="111"/>
      <c r="G41" s="111"/>
      <c r="H41" s="111"/>
      <c r="I41" s="111"/>
      <c r="J41" s="111"/>
      <c r="K41" s="111"/>
    </row>
    <row r="42" spans="2:11" x14ac:dyDescent="0.2">
      <c r="B42" s="105"/>
      <c r="C42" s="59" t="s">
        <v>16</v>
      </c>
      <c r="D42" s="112" t="s">
        <v>134</v>
      </c>
      <c r="E42" s="113"/>
      <c r="F42" s="113"/>
      <c r="G42" s="113"/>
      <c r="H42" s="113"/>
      <c r="I42" s="113"/>
      <c r="J42" s="113"/>
      <c r="K42" s="113"/>
    </row>
    <row r="43" spans="2:11" x14ac:dyDescent="0.2">
      <c r="B43" s="105"/>
      <c r="C43" s="60" t="s">
        <v>14</v>
      </c>
      <c r="D43" s="113"/>
      <c r="E43" s="113"/>
      <c r="F43" s="113"/>
      <c r="G43" s="113"/>
      <c r="H43" s="113"/>
      <c r="I43" s="113"/>
      <c r="J43" s="113"/>
      <c r="K43" s="113"/>
    </row>
    <row r="44" spans="2:11" x14ac:dyDescent="0.2">
      <c r="B44" s="105"/>
      <c r="C44" s="4"/>
      <c r="D44" s="6" t="s">
        <v>4</v>
      </c>
      <c r="E44" s="6" t="s">
        <v>5</v>
      </c>
      <c r="F44" s="6" t="s">
        <v>10</v>
      </c>
      <c r="G44" s="6" t="s">
        <v>6</v>
      </c>
      <c r="H44" s="6" t="s">
        <v>7</v>
      </c>
      <c r="I44" s="6" t="s">
        <v>8</v>
      </c>
      <c r="J44" s="6" t="s">
        <v>9</v>
      </c>
      <c r="K44" s="6" t="s">
        <v>0</v>
      </c>
    </row>
    <row r="45" spans="2:11" x14ac:dyDescent="0.2">
      <c r="B45" s="105"/>
      <c r="C45" s="4"/>
      <c r="D45" s="26">
        <f>(J45*0.9)-F45-$O$3</f>
        <v>384.1</v>
      </c>
      <c r="E45" s="4">
        <v>2900</v>
      </c>
      <c r="F45" s="4">
        <v>300</v>
      </c>
      <c r="G45" s="4">
        <v>999</v>
      </c>
      <c r="H45" s="4"/>
      <c r="I45" s="4"/>
      <c r="J45" s="4">
        <v>999</v>
      </c>
      <c r="K45" s="11">
        <f>(D45+F45)/F45</f>
        <v>2.2803333333333335</v>
      </c>
    </row>
    <row r="47" spans="2:11" ht="19" x14ac:dyDescent="0.2">
      <c r="B47" s="105"/>
      <c r="C47" s="59" t="s">
        <v>13</v>
      </c>
      <c r="D47" s="111" t="s">
        <v>135</v>
      </c>
      <c r="E47" s="111"/>
      <c r="F47" s="111"/>
      <c r="G47" s="111"/>
      <c r="H47" s="111"/>
      <c r="I47" s="111"/>
      <c r="J47" s="111"/>
      <c r="K47" s="111"/>
    </row>
    <row r="48" spans="2:11" ht="13.25" customHeight="1" x14ac:dyDescent="0.2">
      <c r="B48" s="105"/>
      <c r="C48" s="59" t="s">
        <v>16</v>
      </c>
      <c r="D48" s="112" t="s">
        <v>134</v>
      </c>
      <c r="E48" s="113"/>
      <c r="F48" s="113"/>
      <c r="G48" s="113"/>
      <c r="H48" s="113"/>
      <c r="I48" s="113"/>
      <c r="J48" s="113"/>
      <c r="K48" s="113"/>
    </row>
    <row r="49" spans="2:11" x14ac:dyDescent="0.2">
      <c r="B49" s="105"/>
      <c r="C49" s="60" t="s">
        <v>14</v>
      </c>
      <c r="D49" s="113"/>
      <c r="E49" s="113"/>
      <c r="F49" s="113"/>
      <c r="G49" s="113"/>
      <c r="H49" s="113"/>
      <c r="I49" s="113"/>
      <c r="J49" s="113"/>
      <c r="K49" s="113"/>
    </row>
    <row r="50" spans="2:11" x14ac:dyDescent="0.2">
      <c r="B50" s="105"/>
      <c r="C50" s="4"/>
      <c r="D50" s="6" t="s">
        <v>4</v>
      </c>
      <c r="E50" s="6" t="s">
        <v>5</v>
      </c>
      <c r="F50" s="6" t="s">
        <v>10</v>
      </c>
      <c r="G50" s="6" t="s">
        <v>6</v>
      </c>
      <c r="H50" s="6" t="s">
        <v>7</v>
      </c>
      <c r="I50" s="6" t="s">
        <v>8</v>
      </c>
      <c r="J50" s="6" t="s">
        <v>9</v>
      </c>
      <c r="K50" s="6" t="s">
        <v>0</v>
      </c>
    </row>
    <row r="51" spans="2:11" x14ac:dyDescent="0.2">
      <c r="B51" s="105"/>
      <c r="C51" s="4"/>
      <c r="D51" s="26">
        <f>(J51*0.9)-F51-$O$3</f>
        <v>384.1</v>
      </c>
      <c r="E51" s="4">
        <v>2900</v>
      </c>
      <c r="F51" s="4">
        <v>300</v>
      </c>
      <c r="G51" s="4">
        <v>999</v>
      </c>
      <c r="H51" s="4"/>
      <c r="I51" s="4"/>
      <c r="J51" s="4">
        <v>999</v>
      </c>
      <c r="K51" s="11">
        <f>(D51+F51)/F51</f>
        <v>2.2803333333333335</v>
      </c>
    </row>
    <row r="53" spans="2:11" ht="19" x14ac:dyDescent="0.2">
      <c r="B53" s="105"/>
      <c r="C53" s="59" t="s">
        <v>13</v>
      </c>
      <c r="D53" s="111" t="s">
        <v>142</v>
      </c>
      <c r="E53" s="111"/>
      <c r="F53" s="111"/>
      <c r="G53" s="111"/>
      <c r="H53" s="111"/>
      <c r="I53" s="111"/>
      <c r="J53" s="111"/>
      <c r="K53" s="111"/>
    </row>
    <row r="54" spans="2:11" x14ac:dyDescent="0.2">
      <c r="B54" s="105"/>
      <c r="C54" s="59" t="s">
        <v>16</v>
      </c>
      <c r="D54" s="112" t="s">
        <v>134</v>
      </c>
      <c r="E54" s="113"/>
      <c r="F54" s="113"/>
      <c r="G54" s="113"/>
      <c r="H54" s="113"/>
      <c r="I54" s="113"/>
      <c r="J54" s="113"/>
      <c r="K54" s="113"/>
    </row>
    <row r="55" spans="2:11" x14ac:dyDescent="0.2">
      <c r="B55" s="105"/>
      <c r="C55" s="60" t="s">
        <v>14</v>
      </c>
      <c r="D55" s="113"/>
      <c r="E55" s="113"/>
      <c r="F55" s="113"/>
      <c r="G55" s="113"/>
      <c r="H55" s="113"/>
      <c r="I55" s="113"/>
      <c r="J55" s="113"/>
      <c r="K55" s="113"/>
    </row>
    <row r="56" spans="2:11" x14ac:dyDescent="0.2">
      <c r="B56" s="105"/>
      <c r="C56" s="4"/>
      <c r="D56" s="6" t="s">
        <v>4</v>
      </c>
      <c r="E56" s="6" t="s">
        <v>5</v>
      </c>
      <c r="F56" s="6" t="s">
        <v>10</v>
      </c>
      <c r="G56" s="6" t="s">
        <v>6</v>
      </c>
      <c r="H56" s="6" t="s">
        <v>7</v>
      </c>
      <c r="I56" s="6" t="s">
        <v>8</v>
      </c>
      <c r="J56" s="6" t="s">
        <v>9</v>
      </c>
      <c r="K56" s="6" t="s">
        <v>0</v>
      </c>
    </row>
    <row r="57" spans="2:11" x14ac:dyDescent="0.2">
      <c r="B57" s="105"/>
      <c r="C57" s="4"/>
      <c r="D57" s="26">
        <f>(J57*0.9)-F57-$O$3</f>
        <v>25</v>
      </c>
      <c r="E57" s="4">
        <v>2900</v>
      </c>
      <c r="F57" s="4">
        <v>300</v>
      </c>
      <c r="G57" s="4">
        <v>999</v>
      </c>
      <c r="H57" s="4"/>
      <c r="I57" s="4"/>
      <c r="J57" s="4">
        <v>600</v>
      </c>
      <c r="K57" s="11">
        <f>(D57+F57)/F57</f>
        <v>1.0833333333333333</v>
      </c>
    </row>
    <row r="59" spans="2:11" ht="19" x14ac:dyDescent="0.2">
      <c r="B59" s="107">
        <v>19</v>
      </c>
      <c r="C59" s="9" t="s">
        <v>13</v>
      </c>
      <c r="D59" s="111" t="s">
        <v>127</v>
      </c>
      <c r="E59" s="111"/>
      <c r="F59" s="111"/>
      <c r="G59" s="111"/>
      <c r="H59" s="111"/>
      <c r="I59" s="111"/>
      <c r="J59" s="111"/>
      <c r="K59" s="111"/>
    </row>
    <row r="60" spans="2:11" x14ac:dyDescent="0.2">
      <c r="B60" s="107"/>
      <c r="C60" s="4" t="s">
        <v>16</v>
      </c>
      <c r="D60" s="112" t="s">
        <v>128</v>
      </c>
      <c r="E60" s="113"/>
      <c r="F60" s="113"/>
      <c r="G60" s="113"/>
      <c r="H60" s="113"/>
      <c r="I60" s="113"/>
      <c r="J60" s="113"/>
      <c r="K60" s="113"/>
    </row>
    <row r="61" spans="2:11" x14ac:dyDescent="0.2">
      <c r="B61" s="107"/>
      <c r="C61" s="5" t="s">
        <v>14</v>
      </c>
      <c r="D61" s="113"/>
      <c r="E61" s="113"/>
      <c r="F61" s="113"/>
      <c r="G61" s="113"/>
      <c r="H61" s="113"/>
      <c r="I61" s="113"/>
      <c r="J61" s="113"/>
      <c r="K61" s="113"/>
    </row>
    <row r="62" spans="2:11" x14ac:dyDescent="0.2">
      <c r="B62" s="107"/>
      <c r="C62" s="4"/>
      <c r="D62" s="6" t="s">
        <v>4</v>
      </c>
      <c r="E62" s="6" t="s">
        <v>5</v>
      </c>
      <c r="F62" s="6" t="s">
        <v>10</v>
      </c>
      <c r="G62" s="6" t="s">
        <v>6</v>
      </c>
      <c r="H62" s="6" t="s">
        <v>7</v>
      </c>
      <c r="I62" s="6" t="s">
        <v>8</v>
      </c>
      <c r="J62" s="6" t="s">
        <v>9</v>
      </c>
      <c r="K62" s="6" t="s">
        <v>0</v>
      </c>
    </row>
    <row r="63" spans="2:11" x14ac:dyDescent="0.2">
      <c r="B63" s="107"/>
      <c r="C63" s="4"/>
      <c r="D63" s="26">
        <f>(J63*0.9)-F63-$O$3</f>
        <v>-205.89999999999964</v>
      </c>
      <c r="E63" s="4">
        <v>9000</v>
      </c>
      <c r="F63" s="4">
        <v>4400</v>
      </c>
      <c r="G63" s="4">
        <v>9000</v>
      </c>
      <c r="H63" s="4">
        <v>3000</v>
      </c>
      <c r="I63" s="4">
        <v>2000</v>
      </c>
      <c r="J63" s="4">
        <v>4899</v>
      </c>
      <c r="K63" s="11">
        <f>(D63+F63)/F63</f>
        <v>0.95320454545454558</v>
      </c>
    </row>
    <row r="65" spans="2:11" ht="19" x14ac:dyDescent="0.2">
      <c r="B65" s="104">
        <v>8</v>
      </c>
      <c r="C65" s="4" t="s">
        <v>13</v>
      </c>
      <c r="D65" s="111" t="s">
        <v>131</v>
      </c>
      <c r="E65" s="111"/>
      <c r="F65" s="111"/>
      <c r="G65" s="111"/>
      <c r="H65" s="111"/>
      <c r="I65" s="111"/>
      <c r="J65" s="111"/>
      <c r="K65" s="111"/>
    </row>
    <row r="66" spans="2:11" x14ac:dyDescent="0.2">
      <c r="B66" s="104"/>
      <c r="C66" s="4" t="s">
        <v>16</v>
      </c>
      <c r="D66" s="112" t="s">
        <v>132</v>
      </c>
      <c r="E66" s="113"/>
      <c r="F66" s="113"/>
      <c r="G66" s="113"/>
      <c r="H66" s="113"/>
      <c r="I66" s="113"/>
      <c r="J66" s="113"/>
      <c r="K66" s="113"/>
    </row>
    <row r="67" spans="2:11" x14ac:dyDescent="0.2">
      <c r="B67" s="104"/>
      <c r="C67" s="5" t="s">
        <v>14</v>
      </c>
      <c r="D67" s="113"/>
      <c r="E67" s="113"/>
      <c r="F67" s="113"/>
      <c r="G67" s="113"/>
      <c r="H67" s="113"/>
      <c r="I67" s="113"/>
      <c r="J67" s="113"/>
      <c r="K67" s="113"/>
    </row>
    <row r="68" spans="2:11" x14ac:dyDescent="0.2">
      <c r="B68" s="104"/>
      <c r="C68" s="4"/>
      <c r="D68" s="6" t="s">
        <v>4</v>
      </c>
      <c r="E68" s="6" t="s">
        <v>5</v>
      </c>
      <c r="F68" s="6" t="s">
        <v>10</v>
      </c>
      <c r="G68" s="6" t="s">
        <v>6</v>
      </c>
      <c r="H68" s="6" t="s">
        <v>7</v>
      </c>
      <c r="I68" s="6" t="s">
        <v>8</v>
      </c>
      <c r="J68" s="6" t="s">
        <v>9</v>
      </c>
      <c r="K68" s="6" t="s">
        <v>0</v>
      </c>
    </row>
    <row r="69" spans="2:11" x14ac:dyDescent="0.2">
      <c r="B69" s="104"/>
      <c r="C69" s="4"/>
      <c r="D69" s="26">
        <f>(J69*0.9)-F69-$O$3</f>
        <v>1174.1000000000004</v>
      </c>
      <c r="E69" s="4">
        <v>11000</v>
      </c>
      <c r="F69" s="4">
        <v>7700</v>
      </c>
      <c r="G69" s="4">
        <v>12000</v>
      </c>
      <c r="H69" s="4">
        <v>14999</v>
      </c>
      <c r="I69" s="4">
        <v>5000</v>
      </c>
      <c r="J69" s="4">
        <v>10099</v>
      </c>
      <c r="K69" s="11">
        <f>(D69+F69)/F69</f>
        <v>1.1524805194805194</v>
      </c>
    </row>
    <row r="71" spans="2:11" ht="19" x14ac:dyDescent="0.2">
      <c r="B71" s="104">
        <v>1</v>
      </c>
      <c r="C71" s="4" t="s">
        <v>13</v>
      </c>
      <c r="D71" s="111" t="s">
        <v>17</v>
      </c>
      <c r="E71" s="111"/>
      <c r="F71" s="111"/>
      <c r="G71" s="111"/>
      <c r="H71" s="111"/>
      <c r="I71" s="111"/>
      <c r="J71" s="111"/>
      <c r="K71" s="111"/>
    </row>
    <row r="72" spans="2:11" x14ac:dyDescent="0.2">
      <c r="B72" s="104"/>
      <c r="C72" s="4" t="s">
        <v>16</v>
      </c>
      <c r="D72" s="112" t="s">
        <v>141</v>
      </c>
      <c r="E72" s="113"/>
      <c r="F72" s="113"/>
      <c r="G72" s="113"/>
      <c r="H72" s="113"/>
      <c r="I72" s="113"/>
      <c r="J72" s="113"/>
      <c r="K72" s="113"/>
    </row>
    <row r="73" spans="2:11" x14ac:dyDescent="0.2">
      <c r="B73" s="104"/>
      <c r="C73" s="5" t="s">
        <v>14</v>
      </c>
      <c r="D73" s="113"/>
      <c r="E73" s="113"/>
      <c r="F73" s="113"/>
      <c r="G73" s="113"/>
      <c r="H73" s="113"/>
      <c r="I73" s="113"/>
      <c r="J73" s="113"/>
      <c r="K73" s="113"/>
    </row>
    <row r="74" spans="2:11" x14ac:dyDescent="0.2">
      <c r="B74" s="104"/>
      <c r="C74" s="4"/>
      <c r="D74" s="6" t="s">
        <v>4</v>
      </c>
      <c r="E74" s="6" t="s">
        <v>5</v>
      </c>
      <c r="F74" s="6" t="s">
        <v>10</v>
      </c>
      <c r="G74" s="6" t="s">
        <v>6</v>
      </c>
      <c r="H74" s="6" t="s">
        <v>7</v>
      </c>
      <c r="I74" s="6" t="s">
        <v>8</v>
      </c>
      <c r="J74" s="6" t="s">
        <v>9</v>
      </c>
      <c r="K74" s="6" t="s">
        <v>0</v>
      </c>
    </row>
    <row r="75" spans="2:11" x14ac:dyDescent="0.2">
      <c r="B75" s="104"/>
      <c r="C75" s="4"/>
      <c r="D75" s="26">
        <f>(J75*0.9)-F75-$O$3</f>
        <v>-2115</v>
      </c>
      <c r="E75" s="4">
        <v>21500</v>
      </c>
      <c r="F75" s="4">
        <v>9100</v>
      </c>
      <c r="G75" s="4">
        <v>18000</v>
      </c>
      <c r="H75" s="4">
        <v>15000</v>
      </c>
      <c r="I75" s="4">
        <v>5000</v>
      </c>
      <c r="J75" s="4">
        <v>8000</v>
      </c>
      <c r="K75" s="11">
        <f>(D75+F75)/F75</f>
        <v>0.76758241758241763</v>
      </c>
    </row>
    <row r="77" spans="2:11" ht="16.5" x14ac:dyDescent="0.2">
      <c r="B77" s="97">
        <v>6</v>
      </c>
      <c r="C77" s="4" t="s">
        <v>13</v>
      </c>
      <c r="D77" s="117" t="s">
        <v>140</v>
      </c>
      <c r="E77" s="117"/>
      <c r="F77" s="117"/>
      <c r="G77" s="117"/>
      <c r="H77" s="117"/>
      <c r="I77" s="117"/>
      <c r="J77" s="117"/>
      <c r="K77" s="117"/>
    </row>
    <row r="78" spans="2:11" x14ac:dyDescent="0.2">
      <c r="B78" s="97"/>
      <c r="C78" s="4" t="s">
        <v>16</v>
      </c>
      <c r="D78" s="112" t="s">
        <v>139</v>
      </c>
      <c r="E78" s="113"/>
      <c r="F78" s="113"/>
      <c r="G78" s="113"/>
      <c r="H78" s="113"/>
      <c r="I78" s="113"/>
      <c r="J78" s="113"/>
      <c r="K78" s="113"/>
    </row>
    <row r="79" spans="2:11" x14ac:dyDescent="0.2">
      <c r="B79" s="97"/>
      <c r="C79" s="5" t="s">
        <v>14</v>
      </c>
      <c r="D79" s="113"/>
      <c r="E79" s="113"/>
      <c r="F79" s="113"/>
      <c r="G79" s="113"/>
      <c r="H79" s="113"/>
      <c r="I79" s="113"/>
      <c r="J79" s="113"/>
      <c r="K79" s="113"/>
    </row>
    <row r="80" spans="2:11" x14ac:dyDescent="0.2">
      <c r="B80" s="97"/>
      <c r="C80" s="4"/>
      <c r="D80" s="6" t="s">
        <v>4</v>
      </c>
      <c r="E80" s="6" t="s">
        <v>5</v>
      </c>
      <c r="F80" s="6" t="s">
        <v>10</v>
      </c>
      <c r="G80" s="6" t="s">
        <v>6</v>
      </c>
      <c r="H80" s="6" t="s">
        <v>7</v>
      </c>
      <c r="I80" s="6" t="s">
        <v>8</v>
      </c>
      <c r="J80" s="6" t="s">
        <v>9</v>
      </c>
      <c r="K80" s="6" t="s">
        <v>0</v>
      </c>
    </row>
    <row r="81" spans="2:11" x14ac:dyDescent="0.2">
      <c r="B81" s="97"/>
      <c r="C81" s="4"/>
      <c r="D81" s="26">
        <f>(J81*0.9)-F81-$R$3</f>
        <v>-2450</v>
      </c>
      <c r="E81" s="4">
        <v>11000</v>
      </c>
      <c r="F81" s="4">
        <v>8800</v>
      </c>
      <c r="G81" s="4">
        <v>12000</v>
      </c>
      <c r="H81" s="4">
        <v>9999</v>
      </c>
      <c r="I81" s="4">
        <v>5000</v>
      </c>
      <c r="J81" s="4">
        <v>8000</v>
      </c>
      <c r="K81" s="11">
        <f>(D81+F81)/F81</f>
        <v>0.72159090909090906</v>
      </c>
    </row>
    <row r="83" spans="2:11" ht="19" x14ac:dyDescent="0.2">
      <c r="B83" s="104">
        <v>24</v>
      </c>
      <c r="C83" s="4" t="s">
        <v>13</v>
      </c>
      <c r="D83" s="111" t="s">
        <v>144</v>
      </c>
      <c r="E83" s="111"/>
      <c r="F83" s="111"/>
      <c r="G83" s="111"/>
      <c r="H83" s="111"/>
      <c r="I83" s="111"/>
      <c r="J83" s="111"/>
      <c r="K83" s="111"/>
    </row>
    <row r="84" spans="2:11" x14ac:dyDescent="0.2">
      <c r="B84" s="104"/>
      <c r="C84" s="4" t="s">
        <v>16</v>
      </c>
      <c r="D84" s="112" t="s">
        <v>145</v>
      </c>
      <c r="E84" s="113"/>
      <c r="F84" s="113"/>
      <c r="G84" s="113"/>
      <c r="H84" s="113"/>
      <c r="I84" s="113"/>
      <c r="J84" s="113"/>
      <c r="K84" s="113"/>
    </row>
    <row r="85" spans="2:11" x14ac:dyDescent="0.2">
      <c r="B85" s="104"/>
      <c r="C85" s="5" t="s">
        <v>14</v>
      </c>
      <c r="D85" s="113"/>
      <c r="E85" s="113"/>
      <c r="F85" s="113"/>
      <c r="G85" s="113"/>
      <c r="H85" s="113"/>
      <c r="I85" s="113"/>
      <c r="J85" s="113"/>
      <c r="K85" s="113"/>
    </row>
    <row r="86" spans="2:11" x14ac:dyDescent="0.2">
      <c r="B86" s="104"/>
      <c r="C86" s="4"/>
      <c r="D86" s="6" t="s">
        <v>4</v>
      </c>
      <c r="E86" s="6" t="s">
        <v>5</v>
      </c>
      <c r="F86" s="6" t="s">
        <v>10</v>
      </c>
      <c r="G86" s="6" t="s">
        <v>6</v>
      </c>
      <c r="H86" s="6" t="s">
        <v>7</v>
      </c>
      <c r="I86" s="6" t="s">
        <v>8</v>
      </c>
      <c r="J86" s="6" t="s">
        <v>9</v>
      </c>
      <c r="K86" s="6" t="s">
        <v>0</v>
      </c>
    </row>
    <row r="87" spans="2:11" x14ac:dyDescent="0.2">
      <c r="B87" s="104"/>
      <c r="C87" s="4"/>
      <c r="D87" s="26">
        <f>(J87*0.9)-F87-$O$3</f>
        <v>-1065</v>
      </c>
      <c r="E87" s="4">
        <v>0</v>
      </c>
      <c r="F87" s="4">
        <v>4000</v>
      </c>
      <c r="G87" s="4">
        <v>0</v>
      </c>
      <c r="H87" s="4">
        <v>0</v>
      </c>
      <c r="I87" s="4">
        <v>0</v>
      </c>
      <c r="J87" s="4">
        <v>3500</v>
      </c>
      <c r="K87" s="11">
        <f>(D87+F87)/F87</f>
        <v>0.73375000000000001</v>
      </c>
    </row>
    <row r="89" spans="2:11" ht="19" x14ac:dyDescent="0.2">
      <c r="B89" s="95">
        <v>27</v>
      </c>
      <c r="C89" s="4" t="s">
        <v>13</v>
      </c>
      <c r="D89" s="111" t="s">
        <v>150</v>
      </c>
      <c r="E89" s="111"/>
      <c r="F89" s="111"/>
      <c r="G89" s="111"/>
      <c r="H89" s="111"/>
      <c r="I89" s="111"/>
      <c r="J89" s="111"/>
      <c r="K89" s="111"/>
    </row>
    <row r="90" spans="2:11" x14ac:dyDescent="0.2">
      <c r="B90" s="95"/>
      <c r="C90" s="4" t="s">
        <v>16</v>
      </c>
      <c r="D90" s="112" t="s">
        <v>151</v>
      </c>
      <c r="E90" s="113"/>
      <c r="F90" s="113"/>
      <c r="G90" s="113"/>
      <c r="H90" s="113"/>
      <c r="I90" s="113"/>
      <c r="J90" s="113"/>
      <c r="K90" s="113"/>
    </row>
    <row r="91" spans="2:11" x14ac:dyDescent="0.2">
      <c r="B91" s="95"/>
      <c r="C91" s="5" t="s">
        <v>14</v>
      </c>
      <c r="D91" s="113"/>
      <c r="E91" s="113"/>
      <c r="F91" s="113"/>
      <c r="G91" s="113"/>
      <c r="H91" s="113"/>
      <c r="I91" s="113"/>
      <c r="J91" s="113"/>
      <c r="K91" s="113"/>
    </row>
    <row r="92" spans="2:11" x14ac:dyDescent="0.2">
      <c r="B92" s="95"/>
      <c r="C92" s="4"/>
      <c r="D92" s="6" t="s">
        <v>4</v>
      </c>
      <c r="E92" s="6" t="s">
        <v>5</v>
      </c>
      <c r="F92" s="6" t="s">
        <v>10</v>
      </c>
      <c r="G92" s="6" t="s">
        <v>6</v>
      </c>
      <c r="H92" s="6" t="s">
        <v>7</v>
      </c>
      <c r="I92" s="6" t="s">
        <v>8</v>
      </c>
      <c r="J92" s="6" t="s">
        <v>9</v>
      </c>
      <c r="K92" s="6" t="s">
        <v>0</v>
      </c>
    </row>
    <row r="93" spans="2:11" x14ac:dyDescent="0.2">
      <c r="B93" s="95"/>
      <c r="C93" s="4"/>
      <c r="D93" s="26">
        <f>(J93*0.9)-F93-$O$3</f>
        <v>-365.89999999999964</v>
      </c>
      <c r="E93" s="4">
        <v>7000</v>
      </c>
      <c r="F93" s="4">
        <v>6000</v>
      </c>
      <c r="G93" s="4">
        <v>12000</v>
      </c>
      <c r="H93" s="4"/>
      <c r="I93" s="4"/>
      <c r="J93" s="4">
        <v>6499</v>
      </c>
      <c r="K93" s="11">
        <f>(D93+F93)/F93</f>
        <v>0.93901666666666672</v>
      </c>
    </row>
    <row r="95" spans="2:11" ht="19" x14ac:dyDescent="0.2">
      <c r="B95" s="109">
        <v>29</v>
      </c>
      <c r="C95" s="4" t="s">
        <v>13</v>
      </c>
      <c r="D95" s="111" t="s">
        <v>166</v>
      </c>
      <c r="E95" s="111"/>
      <c r="F95" s="111"/>
      <c r="G95" s="111"/>
      <c r="H95" s="111"/>
      <c r="I95" s="111"/>
      <c r="J95" s="111"/>
      <c r="K95" s="111"/>
    </row>
    <row r="96" spans="2:11" x14ac:dyDescent="0.2">
      <c r="B96" s="109"/>
      <c r="C96" s="4" t="s">
        <v>16</v>
      </c>
      <c r="D96" s="112"/>
      <c r="E96" s="113"/>
      <c r="F96" s="113"/>
      <c r="G96" s="113"/>
      <c r="H96" s="113"/>
      <c r="I96" s="113"/>
      <c r="J96" s="113"/>
      <c r="K96" s="113"/>
    </row>
    <row r="97" spans="2:11" x14ac:dyDescent="0.2">
      <c r="B97" s="109"/>
      <c r="C97" s="5" t="s">
        <v>14</v>
      </c>
      <c r="D97" s="113"/>
      <c r="E97" s="113"/>
      <c r="F97" s="113"/>
      <c r="G97" s="113"/>
      <c r="H97" s="113"/>
      <c r="I97" s="113"/>
      <c r="J97" s="113"/>
      <c r="K97" s="113"/>
    </row>
    <row r="98" spans="2:11" x14ac:dyDescent="0.2">
      <c r="B98" s="109"/>
      <c r="C98" s="4"/>
      <c r="D98" s="6" t="s">
        <v>4</v>
      </c>
      <c r="E98" s="6" t="s">
        <v>5</v>
      </c>
      <c r="F98" s="6" t="s">
        <v>10</v>
      </c>
      <c r="G98" s="6" t="s">
        <v>6</v>
      </c>
      <c r="H98" s="6" t="s">
        <v>7</v>
      </c>
      <c r="I98" s="6" t="s">
        <v>8</v>
      </c>
      <c r="J98" s="6" t="s">
        <v>9</v>
      </c>
      <c r="K98" s="6" t="s">
        <v>0</v>
      </c>
    </row>
    <row r="99" spans="2:11" x14ac:dyDescent="0.2">
      <c r="B99" s="109"/>
      <c r="C99" s="4"/>
      <c r="D99" s="26">
        <f>(J99*0.9)-F99-$R$3</f>
        <v>5170</v>
      </c>
      <c r="E99" s="4">
        <v>18000</v>
      </c>
      <c r="F99" s="4">
        <v>9100</v>
      </c>
      <c r="G99" s="4"/>
      <c r="H99" s="4"/>
      <c r="I99" s="4"/>
      <c r="J99" s="4">
        <v>16800</v>
      </c>
      <c r="K99" s="11">
        <f>(D99+F99)/F99</f>
        <v>1.5681318681318681</v>
      </c>
    </row>
    <row r="101" spans="2:11" ht="19" x14ac:dyDescent="0.2">
      <c r="B101" s="107">
        <v>31</v>
      </c>
      <c r="C101" s="4" t="s">
        <v>13</v>
      </c>
      <c r="D101" s="111" t="s">
        <v>167</v>
      </c>
      <c r="E101" s="111"/>
      <c r="F101" s="111"/>
      <c r="G101" s="111"/>
      <c r="H101" s="111"/>
      <c r="I101" s="111"/>
      <c r="J101" s="111"/>
      <c r="K101" s="111"/>
    </row>
    <row r="102" spans="2:11" x14ac:dyDescent="0.2">
      <c r="B102" s="107"/>
      <c r="C102" s="4" t="s">
        <v>16</v>
      </c>
      <c r="D102" s="112"/>
      <c r="E102" s="113"/>
      <c r="F102" s="113"/>
      <c r="G102" s="113"/>
      <c r="H102" s="113"/>
      <c r="I102" s="113"/>
      <c r="J102" s="113"/>
      <c r="K102" s="113"/>
    </row>
    <row r="103" spans="2:11" x14ac:dyDescent="0.2">
      <c r="B103" s="107"/>
      <c r="C103" s="5" t="s">
        <v>14</v>
      </c>
      <c r="D103" s="113"/>
      <c r="E103" s="113"/>
      <c r="F103" s="113"/>
      <c r="G103" s="113"/>
      <c r="H103" s="113"/>
      <c r="I103" s="113"/>
      <c r="J103" s="113"/>
      <c r="K103" s="113"/>
    </row>
    <row r="104" spans="2:11" x14ac:dyDescent="0.2">
      <c r="B104" s="107"/>
      <c r="C104" s="4"/>
      <c r="D104" s="6" t="s">
        <v>4</v>
      </c>
      <c r="E104" s="6" t="s">
        <v>5</v>
      </c>
      <c r="F104" s="6" t="s">
        <v>10</v>
      </c>
      <c r="G104" s="6" t="s">
        <v>6</v>
      </c>
      <c r="H104" s="6" t="s">
        <v>7</v>
      </c>
      <c r="I104" s="6" t="s">
        <v>8</v>
      </c>
      <c r="J104" s="6" t="s">
        <v>9</v>
      </c>
      <c r="K104" s="6" t="s">
        <v>0</v>
      </c>
    </row>
    <row r="105" spans="2:11" x14ac:dyDescent="0.2">
      <c r="B105" s="107"/>
      <c r="C105" s="4"/>
      <c r="D105" s="26">
        <f>(J105*0.9)-F105-$R$3</f>
        <v>1559.1000000000022</v>
      </c>
      <c r="E105" s="4">
        <v>8000</v>
      </c>
      <c r="F105" s="4">
        <v>20000</v>
      </c>
      <c r="G105" s="4"/>
      <c r="H105" s="4"/>
      <c r="I105" s="4"/>
      <c r="J105" s="4">
        <v>24899</v>
      </c>
      <c r="K105" s="11">
        <f>(D105+F105)/F105</f>
        <v>1.0779550000000002</v>
      </c>
    </row>
    <row r="107" spans="2:11" ht="19" x14ac:dyDescent="0.2">
      <c r="B107" s="108">
        <v>32</v>
      </c>
      <c r="C107" s="4" t="s">
        <v>13</v>
      </c>
      <c r="D107" s="111" t="s">
        <v>168</v>
      </c>
      <c r="E107" s="111"/>
      <c r="F107" s="111"/>
      <c r="G107" s="111"/>
      <c r="H107" s="111"/>
      <c r="I107" s="111"/>
      <c r="J107" s="111"/>
      <c r="K107" s="111"/>
    </row>
    <row r="108" spans="2:11" x14ac:dyDescent="0.2">
      <c r="B108" s="108"/>
      <c r="C108" s="4" t="s">
        <v>16</v>
      </c>
      <c r="D108" s="112"/>
      <c r="E108" s="113"/>
      <c r="F108" s="113"/>
      <c r="G108" s="113"/>
      <c r="H108" s="113"/>
      <c r="I108" s="113"/>
      <c r="J108" s="113"/>
      <c r="K108" s="113"/>
    </row>
    <row r="109" spans="2:11" x14ac:dyDescent="0.2">
      <c r="B109" s="108"/>
      <c r="C109" s="5" t="s">
        <v>14</v>
      </c>
      <c r="D109" s="113"/>
      <c r="E109" s="113"/>
      <c r="F109" s="113"/>
      <c r="G109" s="113"/>
      <c r="H109" s="113"/>
      <c r="I109" s="113"/>
      <c r="J109" s="113"/>
      <c r="K109" s="113"/>
    </row>
    <row r="110" spans="2:11" x14ac:dyDescent="0.2">
      <c r="B110" s="108"/>
      <c r="C110" s="4"/>
      <c r="D110" s="6" t="s">
        <v>4</v>
      </c>
      <c r="E110" s="6" t="s">
        <v>5</v>
      </c>
      <c r="F110" s="6" t="s">
        <v>10</v>
      </c>
      <c r="G110" s="6" t="s">
        <v>6</v>
      </c>
      <c r="H110" s="6" t="s">
        <v>7</v>
      </c>
      <c r="I110" s="6" t="s">
        <v>8</v>
      </c>
      <c r="J110" s="6" t="s">
        <v>9</v>
      </c>
      <c r="K110" s="6" t="s">
        <v>0</v>
      </c>
    </row>
    <row r="111" spans="2:11" x14ac:dyDescent="0.2">
      <c r="B111" s="108"/>
      <c r="C111" s="4"/>
      <c r="D111" s="26">
        <f>(J111*0.9)-F111-$O$3</f>
        <v>655</v>
      </c>
      <c r="E111" s="4">
        <v>3500</v>
      </c>
      <c r="F111" s="4">
        <v>3000</v>
      </c>
      <c r="G111" s="4"/>
      <c r="H111" s="4"/>
      <c r="I111" s="4"/>
      <c r="J111" s="4">
        <v>4300</v>
      </c>
      <c r="K111" s="11">
        <f>(D111+F111)/F111</f>
        <v>1.2183333333333333</v>
      </c>
    </row>
  </sheetData>
  <mergeCells count="54">
    <mergeCell ref="B53:B57"/>
    <mergeCell ref="D53:K53"/>
    <mergeCell ref="D54:K55"/>
    <mergeCell ref="B41:B45"/>
    <mergeCell ref="D41:K41"/>
    <mergeCell ref="D42:K43"/>
    <mergeCell ref="B47:B51"/>
    <mergeCell ref="D47:K47"/>
    <mergeCell ref="D48:K49"/>
    <mergeCell ref="B29:B33"/>
    <mergeCell ref="D29:K29"/>
    <mergeCell ref="D30:K31"/>
    <mergeCell ref="B35:B39"/>
    <mergeCell ref="D35:K35"/>
    <mergeCell ref="D36:K37"/>
    <mergeCell ref="B5:B9"/>
    <mergeCell ref="D5:K5"/>
    <mergeCell ref="D6:K7"/>
    <mergeCell ref="B11:B15"/>
    <mergeCell ref="D11:K11"/>
    <mergeCell ref="D12:K13"/>
    <mergeCell ref="B17:B21"/>
    <mergeCell ref="D17:K17"/>
    <mergeCell ref="D18:K19"/>
    <mergeCell ref="B23:B27"/>
    <mergeCell ref="D23:K23"/>
    <mergeCell ref="D24:K25"/>
    <mergeCell ref="B59:B63"/>
    <mergeCell ref="D59:K59"/>
    <mergeCell ref="D60:K61"/>
    <mergeCell ref="B65:B69"/>
    <mergeCell ref="D65:K65"/>
    <mergeCell ref="D66:K67"/>
    <mergeCell ref="B71:B75"/>
    <mergeCell ref="D71:K71"/>
    <mergeCell ref="D72:K73"/>
    <mergeCell ref="B77:B81"/>
    <mergeCell ref="D77:K77"/>
    <mergeCell ref="D78:K79"/>
    <mergeCell ref="B83:B87"/>
    <mergeCell ref="D83:K83"/>
    <mergeCell ref="D84:K85"/>
    <mergeCell ref="B89:B93"/>
    <mergeCell ref="D89:K89"/>
    <mergeCell ref="D90:K91"/>
    <mergeCell ref="B107:B111"/>
    <mergeCell ref="D107:K107"/>
    <mergeCell ref="D108:K109"/>
    <mergeCell ref="B95:B99"/>
    <mergeCell ref="D95:K95"/>
    <mergeCell ref="D96:K97"/>
    <mergeCell ref="B101:B105"/>
    <mergeCell ref="D101:K101"/>
    <mergeCell ref="D102:K103"/>
  </mergeCells>
  <phoneticPr fontId="2"/>
  <hyperlinks>
    <hyperlink ref="C7" r:id="rId1"/>
    <hyperlink ref="C13" r:id="rId2"/>
    <hyperlink ref="C19" r:id="rId3"/>
    <hyperlink ref="C25" r:id="rId4"/>
    <hyperlink ref="C31" r:id="rId5"/>
    <hyperlink ref="C37" r:id="rId6"/>
    <hyperlink ref="C43" r:id="rId7"/>
    <hyperlink ref="C49" r:id="rId8"/>
    <hyperlink ref="C55" r:id="rId9"/>
    <hyperlink ref="C61" r:id="rId10"/>
    <hyperlink ref="C67" r:id="rId11"/>
    <hyperlink ref="C73" r:id="rId12"/>
    <hyperlink ref="C79" r:id="rId13"/>
    <hyperlink ref="C85" r:id="rId14"/>
    <hyperlink ref="C91" r:id="rId15"/>
    <hyperlink ref="C97" r:id="rId16"/>
    <hyperlink ref="C103" r:id="rId17"/>
    <hyperlink ref="C109" r:id="rId18"/>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91"/>
  <sheetViews>
    <sheetView topLeftCell="A13" zoomScaleNormal="100" workbookViewId="0">
      <selection activeCell="I25" sqref="I25"/>
    </sheetView>
  </sheetViews>
  <sheetFormatPr defaultRowHeight="13" x14ac:dyDescent="0.2"/>
  <cols>
    <col min="3" max="3" width="15.1796875" customWidth="1"/>
    <col min="4" max="4" width="14.1796875" customWidth="1"/>
    <col min="5" max="5" width="15.90625" customWidth="1"/>
    <col min="6" max="6" width="12.1796875" customWidth="1"/>
    <col min="7" max="7" width="12" customWidth="1"/>
    <col min="8" max="8" width="13.36328125" customWidth="1"/>
    <col min="9" max="9" width="15.08984375" customWidth="1"/>
    <col min="10" max="10" width="14.81640625" customWidth="1"/>
    <col min="11" max="11" width="15.54296875" customWidth="1"/>
    <col min="12" max="12" width="12" customWidth="1"/>
    <col min="13" max="13" width="11.54296875" bestFit="1" customWidth="1"/>
    <col min="14" max="14" width="8.90625" customWidth="1"/>
    <col min="15" max="15" width="13" customWidth="1"/>
    <col min="16" max="16" width="11.453125" customWidth="1"/>
    <col min="17" max="18" width="20.81640625" customWidth="1"/>
    <col min="19" max="20" width="8.90625" customWidth="1"/>
    <col min="22" max="22" width="2.08984375" customWidth="1"/>
    <col min="23" max="23" width="10.1796875" customWidth="1"/>
    <col min="25" max="25" width="2.453125" customWidth="1"/>
    <col min="26" max="26" width="11" customWidth="1"/>
    <col min="28" max="28" width="2.36328125" customWidth="1"/>
    <col min="29" max="29" width="10.6328125" customWidth="1"/>
  </cols>
  <sheetData>
    <row r="1" spans="1:15" x14ac:dyDescent="0.2">
      <c r="A1" s="35"/>
      <c r="B1" s="35"/>
      <c r="C1" s="35"/>
      <c r="D1" s="35"/>
      <c r="E1" s="35"/>
      <c r="F1" s="35"/>
      <c r="G1" s="35"/>
      <c r="H1" s="35"/>
      <c r="I1" s="35"/>
      <c r="J1" s="35"/>
      <c r="K1" s="35"/>
      <c r="L1" s="35"/>
      <c r="M1" s="35"/>
      <c r="N1" s="36" t="s">
        <v>105</v>
      </c>
      <c r="O1" s="35"/>
    </row>
    <row r="2" spans="1:15" x14ac:dyDescent="0.2">
      <c r="A2" s="35"/>
      <c r="B2" s="35"/>
      <c r="C2" s="35"/>
      <c r="D2" s="35"/>
      <c r="E2" s="35"/>
      <c r="F2" s="35"/>
      <c r="G2" s="35"/>
      <c r="H2" s="35"/>
      <c r="I2" s="36" t="s">
        <v>56</v>
      </c>
      <c r="J2" s="36" t="s">
        <v>49</v>
      </c>
      <c r="K2" s="36">
        <v>1</v>
      </c>
      <c r="L2" s="40">
        <v>21510</v>
      </c>
      <c r="M2" s="36" t="s">
        <v>106</v>
      </c>
      <c r="N2" s="3">
        <v>0.17</v>
      </c>
      <c r="O2" s="35"/>
    </row>
    <row r="3" spans="1:15" x14ac:dyDescent="0.2">
      <c r="A3" s="35"/>
      <c r="B3" s="49" t="s">
        <v>104</v>
      </c>
      <c r="C3" s="36"/>
      <c r="D3" s="36"/>
      <c r="E3" s="36"/>
      <c r="F3" s="36"/>
      <c r="G3" s="50">
        <f>T66</f>
        <v>156393</v>
      </c>
      <c r="H3" s="35"/>
      <c r="I3" s="36" t="s">
        <v>63</v>
      </c>
      <c r="J3" s="36"/>
      <c r="K3" s="36">
        <v>1</v>
      </c>
      <c r="L3" s="36">
        <v>50000</v>
      </c>
      <c r="M3" s="36" t="s">
        <v>107</v>
      </c>
      <c r="N3" s="3">
        <v>0.19</v>
      </c>
      <c r="O3" s="35"/>
    </row>
    <row r="4" spans="1:15" x14ac:dyDescent="0.2">
      <c r="A4" s="35"/>
      <c r="B4" s="35"/>
      <c r="C4" s="35"/>
      <c r="D4" s="35"/>
      <c r="E4" s="35"/>
      <c r="F4" s="35"/>
      <c r="G4" s="35"/>
      <c r="H4" s="35"/>
      <c r="I4" s="36" t="s">
        <v>108</v>
      </c>
      <c r="J4" s="36" t="s">
        <v>109</v>
      </c>
      <c r="K4" s="51">
        <f>K7</f>
        <v>842670</v>
      </c>
      <c r="L4" s="36">
        <f>K4/16</f>
        <v>52666.875</v>
      </c>
      <c r="M4" s="36"/>
      <c r="N4" s="36"/>
      <c r="O4" s="35"/>
    </row>
    <row r="5" spans="1:15" x14ac:dyDescent="0.2">
      <c r="A5" s="35"/>
      <c r="B5" s="35"/>
      <c r="C5" s="129" t="s">
        <v>48</v>
      </c>
      <c r="D5" s="130"/>
      <c r="E5" s="130"/>
      <c r="F5" s="130"/>
      <c r="G5" s="131"/>
      <c r="H5" s="35"/>
      <c r="I5" s="35"/>
      <c r="J5" s="35"/>
      <c r="K5" s="35"/>
      <c r="L5" s="35"/>
      <c r="M5" s="35"/>
      <c r="N5" s="35"/>
      <c r="O5" s="35"/>
    </row>
    <row r="6" spans="1:15" x14ac:dyDescent="0.2">
      <c r="A6" s="35"/>
      <c r="B6" s="35"/>
      <c r="C6" s="36" t="s">
        <v>47</v>
      </c>
      <c r="D6" s="36" t="s">
        <v>46</v>
      </c>
      <c r="E6" s="36" t="s">
        <v>57</v>
      </c>
      <c r="F6" s="36" t="s">
        <v>103</v>
      </c>
      <c r="G6" s="36" t="s">
        <v>58</v>
      </c>
      <c r="H6" s="35"/>
      <c r="I6" s="36" t="s">
        <v>110</v>
      </c>
      <c r="J6" s="36" t="s">
        <v>115</v>
      </c>
      <c r="K6" s="36" t="s">
        <v>113</v>
      </c>
      <c r="L6" s="36" t="s">
        <v>114</v>
      </c>
      <c r="M6" s="35"/>
      <c r="N6" s="35"/>
      <c r="O6" s="35"/>
    </row>
    <row r="7" spans="1:15" x14ac:dyDescent="0.2">
      <c r="A7" s="35"/>
      <c r="B7" s="37" t="s">
        <v>62</v>
      </c>
      <c r="C7" s="38" t="s">
        <v>52</v>
      </c>
      <c r="D7" s="36" t="s">
        <v>51</v>
      </c>
      <c r="E7" s="53">
        <v>1</v>
      </c>
      <c r="F7" s="36">
        <v>3000</v>
      </c>
      <c r="G7" s="36">
        <v>3000</v>
      </c>
      <c r="H7" s="35"/>
      <c r="I7" s="1">
        <f>143630-L3</f>
        <v>93630</v>
      </c>
      <c r="J7" s="1">
        <v>9</v>
      </c>
      <c r="K7" s="1">
        <f>I7*J7</f>
        <v>842670</v>
      </c>
      <c r="L7" s="1">
        <f>K7/16</f>
        <v>52666.875</v>
      </c>
      <c r="M7" s="35"/>
      <c r="N7" s="35"/>
      <c r="O7" s="35"/>
    </row>
    <row r="8" spans="1:15" x14ac:dyDescent="0.2">
      <c r="A8" s="35"/>
      <c r="B8" s="39"/>
      <c r="C8" s="38" t="s">
        <v>59</v>
      </c>
      <c r="D8" s="36" t="s">
        <v>51</v>
      </c>
      <c r="E8" s="53">
        <v>1</v>
      </c>
      <c r="F8" s="36">
        <v>5907</v>
      </c>
      <c r="G8" s="36">
        <v>5907</v>
      </c>
      <c r="H8" s="35"/>
      <c r="I8" s="52" t="s">
        <v>63</v>
      </c>
      <c r="J8" s="54" t="s">
        <v>116</v>
      </c>
      <c r="K8" s="35"/>
      <c r="L8" s="54" t="s">
        <v>117</v>
      </c>
      <c r="M8" s="1" t="s">
        <v>66</v>
      </c>
      <c r="N8" s="35"/>
      <c r="O8" s="35"/>
    </row>
    <row r="9" spans="1:15" ht="4.25" customHeight="1" x14ac:dyDescent="0.2">
      <c r="A9" s="35"/>
      <c r="B9" s="35"/>
      <c r="C9" s="36"/>
      <c r="D9" s="36"/>
      <c r="E9" s="53"/>
      <c r="F9" s="36"/>
      <c r="G9" s="36"/>
      <c r="H9" s="35"/>
      <c r="N9" s="35"/>
      <c r="O9" s="35"/>
    </row>
    <row r="10" spans="1:15" x14ac:dyDescent="0.2">
      <c r="A10" s="35"/>
      <c r="B10" s="35"/>
      <c r="C10" s="38" t="s">
        <v>54</v>
      </c>
      <c r="D10" s="36" t="s">
        <v>53</v>
      </c>
      <c r="E10" s="53">
        <v>1</v>
      </c>
      <c r="F10" s="36">
        <v>6000</v>
      </c>
      <c r="G10" s="36">
        <v>6000</v>
      </c>
      <c r="H10" s="35"/>
      <c r="I10" s="1">
        <v>50000</v>
      </c>
      <c r="J10" s="36">
        <v>16</v>
      </c>
      <c r="K10" s="35"/>
      <c r="L10" s="1">
        <f>K7/J10</f>
        <v>52666.875</v>
      </c>
      <c r="M10" s="1">
        <f>I10+L10</f>
        <v>102666.875</v>
      </c>
      <c r="N10" s="35"/>
      <c r="O10" s="35"/>
    </row>
    <row r="11" spans="1:15" x14ac:dyDescent="0.2">
      <c r="A11" s="35"/>
      <c r="B11" s="35"/>
      <c r="C11" s="38" t="s">
        <v>55</v>
      </c>
      <c r="D11" s="36" t="s">
        <v>53</v>
      </c>
      <c r="E11" s="53">
        <v>1</v>
      </c>
      <c r="F11" s="36">
        <v>2300</v>
      </c>
      <c r="G11" s="36">
        <v>2300</v>
      </c>
      <c r="H11" s="35"/>
      <c r="I11" s="35"/>
      <c r="J11" s="35"/>
      <c r="K11" s="35"/>
      <c r="L11" s="35"/>
      <c r="M11" s="35"/>
      <c r="N11" s="35"/>
      <c r="O11" s="35"/>
    </row>
    <row r="12" spans="1:15" x14ac:dyDescent="0.2">
      <c r="A12" s="35"/>
      <c r="B12" s="35"/>
      <c r="C12" s="38" t="s">
        <v>60</v>
      </c>
      <c r="D12" s="36" t="s">
        <v>53</v>
      </c>
      <c r="E12" s="53">
        <v>1</v>
      </c>
      <c r="F12" s="36">
        <v>1800</v>
      </c>
      <c r="G12" s="36">
        <v>1800</v>
      </c>
      <c r="H12" s="35"/>
      <c r="I12" s="35"/>
      <c r="J12" s="35"/>
      <c r="K12" s="35"/>
      <c r="L12" s="35"/>
      <c r="M12" s="35"/>
      <c r="N12" s="35"/>
      <c r="O12" s="35"/>
    </row>
    <row r="13" spans="1:15" ht="4.25" customHeight="1" x14ac:dyDescent="0.2">
      <c r="A13" s="35"/>
      <c r="B13" s="35"/>
      <c r="C13" s="36"/>
      <c r="D13" s="36"/>
      <c r="E13" s="53"/>
      <c r="F13" s="36"/>
      <c r="G13" s="36"/>
      <c r="H13" s="35"/>
      <c r="I13" s="35"/>
      <c r="J13" s="35"/>
      <c r="K13" s="35"/>
      <c r="L13" s="35"/>
      <c r="M13" s="35"/>
      <c r="N13" s="35"/>
      <c r="O13" s="35"/>
    </row>
    <row r="14" spans="1:15" x14ac:dyDescent="0.2">
      <c r="A14" s="35"/>
      <c r="B14" s="35"/>
      <c r="C14" s="38" t="s">
        <v>50</v>
      </c>
      <c r="D14" s="36" t="s">
        <v>49</v>
      </c>
      <c r="E14" s="53">
        <v>6</v>
      </c>
      <c r="F14" s="36">
        <v>5000</v>
      </c>
      <c r="G14" s="36">
        <v>30000</v>
      </c>
      <c r="H14" s="35"/>
      <c r="I14" s="35"/>
      <c r="J14" s="35"/>
      <c r="K14" s="35"/>
      <c r="L14" s="35"/>
      <c r="M14" s="35"/>
      <c r="N14" s="35"/>
      <c r="O14" s="35"/>
    </row>
    <row r="15" spans="1:15" x14ac:dyDescent="0.2">
      <c r="A15" s="35"/>
      <c r="B15" s="35"/>
      <c r="C15" s="38" t="s">
        <v>96</v>
      </c>
      <c r="D15" s="36" t="s">
        <v>49</v>
      </c>
      <c r="E15" s="53">
        <v>1</v>
      </c>
      <c r="F15" s="40">
        <f>L2-T89</f>
        <v>6670</v>
      </c>
      <c r="G15" s="40">
        <f>F15</f>
        <v>6670</v>
      </c>
      <c r="H15" s="35"/>
      <c r="I15" s="35"/>
      <c r="J15" s="35"/>
      <c r="K15" s="35"/>
      <c r="L15" s="35"/>
      <c r="M15" s="35"/>
      <c r="N15" s="35"/>
      <c r="O15" s="35"/>
    </row>
    <row r="16" spans="1:15" ht="13.25" customHeight="1" x14ac:dyDescent="0.2">
      <c r="A16" s="35"/>
      <c r="B16" s="35"/>
      <c r="C16" s="38" t="s">
        <v>61</v>
      </c>
      <c r="D16" s="36" t="s">
        <v>49</v>
      </c>
      <c r="E16" s="53">
        <v>4</v>
      </c>
      <c r="F16" s="36">
        <v>2300</v>
      </c>
      <c r="G16" s="36">
        <v>9200</v>
      </c>
      <c r="H16" s="35"/>
      <c r="I16" s="35"/>
      <c r="J16" s="35"/>
      <c r="K16" s="35"/>
      <c r="L16" s="35"/>
      <c r="M16" s="35"/>
      <c r="N16" s="35"/>
      <c r="O16" s="35"/>
    </row>
    <row r="17" spans="1:15" ht="13.25" customHeight="1" x14ac:dyDescent="0.2">
      <c r="A17" s="35"/>
      <c r="B17" s="35"/>
      <c r="C17" s="35"/>
      <c r="D17" s="35"/>
      <c r="E17" s="35"/>
      <c r="F17" s="35"/>
      <c r="G17" s="41">
        <f>SUM(G7:G16)</f>
        <v>64877</v>
      </c>
      <c r="H17" s="35"/>
      <c r="I17" s="35"/>
      <c r="J17" s="35"/>
      <c r="K17" s="35"/>
      <c r="L17" s="35"/>
      <c r="M17" s="35"/>
      <c r="N17" s="35"/>
      <c r="O17" s="35"/>
    </row>
    <row r="18" spans="1:15" ht="13.25" customHeight="1" x14ac:dyDescent="0.2">
      <c r="A18" s="35"/>
      <c r="B18" s="44" t="s">
        <v>97</v>
      </c>
      <c r="C18" s="45" t="s">
        <v>98</v>
      </c>
      <c r="D18" s="36" t="s">
        <v>99</v>
      </c>
      <c r="E18" s="36"/>
      <c r="F18" s="36"/>
      <c r="G18" s="40">
        <v>39400</v>
      </c>
      <c r="H18" s="35"/>
      <c r="I18" s="35"/>
      <c r="J18" s="35"/>
      <c r="K18" s="35"/>
      <c r="L18" s="35"/>
      <c r="M18" s="35"/>
      <c r="N18" s="35"/>
      <c r="O18" s="35"/>
    </row>
    <row r="19" spans="1:15" ht="13.25" customHeight="1" x14ac:dyDescent="0.2">
      <c r="A19" s="35"/>
      <c r="B19" s="35"/>
      <c r="C19" s="45"/>
      <c r="D19" s="36" t="s">
        <v>100</v>
      </c>
      <c r="E19" s="36"/>
      <c r="F19" s="36"/>
      <c r="G19" s="40">
        <v>11000</v>
      </c>
      <c r="H19" s="35"/>
      <c r="I19" s="35"/>
      <c r="J19" s="35"/>
      <c r="K19" s="35"/>
      <c r="L19" s="35"/>
      <c r="M19" s="35"/>
      <c r="N19" s="35"/>
      <c r="O19" s="35"/>
    </row>
    <row r="20" spans="1:15" ht="13.25" customHeight="1" x14ac:dyDescent="0.2">
      <c r="A20" s="35"/>
      <c r="B20" s="35"/>
      <c r="C20" s="35"/>
      <c r="D20" s="35"/>
      <c r="E20" s="35"/>
      <c r="F20" s="35"/>
      <c r="G20" s="46">
        <f>SUM(G18:G19)</f>
        <v>50400</v>
      </c>
      <c r="H20" s="35"/>
      <c r="I20" s="35"/>
      <c r="J20" s="35"/>
      <c r="K20" s="35"/>
      <c r="L20" s="35"/>
      <c r="M20" s="35"/>
      <c r="N20" s="35"/>
      <c r="O20" s="35"/>
    </row>
    <row r="21" spans="1:15" ht="13.25" customHeight="1" x14ac:dyDescent="0.2">
      <c r="A21" s="35"/>
      <c r="B21" s="35"/>
      <c r="C21" s="35"/>
      <c r="D21" s="35"/>
      <c r="E21" s="35"/>
      <c r="F21" s="47" t="s">
        <v>102</v>
      </c>
      <c r="G21" s="48">
        <f>G17+G20</f>
        <v>115277</v>
      </c>
      <c r="H21" s="35"/>
      <c r="I21" s="35"/>
      <c r="J21" s="35"/>
      <c r="K21" s="35"/>
      <c r="L21" s="35"/>
      <c r="M21" s="35"/>
      <c r="N21" s="35"/>
      <c r="O21" s="35"/>
    </row>
    <row r="22" spans="1:15" ht="13.25" customHeight="1" x14ac:dyDescent="0.2">
      <c r="A22" s="35"/>
      <c r="B22" s="35"/>
      <c r="C22" s="35"/>
      <c r="D22" s="35"/>
      <c r="E22" s="35"/>
      <c r="F22" s="35"/>
      <c r="G22" s="35"/>
      <c r="H22" s="35"/>
      <c r="I22" s="35"/>
      <c r="J22" s="35"/>
      <c r="K22" s="35"/>
      <c r="L22" s="35"/>
      <c r="M22" s="35"/>
      <c r="N22" s="35"/>
      <c r="O22" s="35"/>
    </row>
    <row r="23" spans="1:15" ht="13.25" customHeight="1" x14ac:dyDescent="0.2">
      <c r="A23" s="35"/>
      <c r="B23" s="42" t="s">
        <v>64</v>
      </c>
      <c r="C23" s="43" t="s">
        <v>64</v>
      </c>
      <c r="D23" s="36"/>
      <c r="E23" s="36"/>
      <c r="F23" s="36"/>
      <c r="G23" s="36">
        <v>60000</v>
      </c>
      <c r="H23" s="35"/>
      <c r="I23" s="35"/>
      <c r="J23" s="35"/>
      <c r="K23" s="35"/>
      <c r="L23" s="35"/>
      <c r="M23" s="35"/>
      <c r="N23" s="35"/>
      <c r="O23" s="35"/>
    </row>
    <row r="24" spans="1:15" ht="13.25" customHeight="1" x14ac:dyDescent="0.2">
      <c r="A24" s="35"/>
      <c r="B24" s="35"/>
      <c r="C24" s="43" t="s">
        <v>65</v>
      </c>
      <c r="D24" s="36"/>
      <c r="E24" s="36"/>
      <c r="F24" s="36"/>
      <c r="G24" s="36">
        <v>10000</v>
      </c>
      <c r="H24" s="35"/>
      <c r="I24" s="35"/>
      <c r="J24" s="35"/>
      <c r="K24" s="35"/>
      <c r="L24" s="35"/>
      <c r="M24" s="35"/>
      <c r="N24" s="35"/>
      <c r="O24" s="35"/>
    </row>
    <row r="25" spans="1:15" ht="13.25" customHeight="1" x14ac:dyDescent="0.2">
      <c r="A25" s="35"/>
      <c r="B25" s="35"/>
      <c r="C25" s="43" t="s">
        <v>66</v>
      </c>
      <c r="D25" s="36"/>
      <c r="E25" s="36"/>
      <c r="F25" s="36"/>
      <c r="G25" s="36">
        <v>50000</v>
      </c>
      <c r="H25" s="35"/>
      <c r="I25" s="35"/>
      <c r="J25" s="35"/>
      <c r="K25" s="35"/>
      <c r="L25" s="35"/>
      <c r="M25" s="35"/>
      <c r="N25" s="35"/>
      <c r="O25" s="35"/>
    </row>
    <row r="26" spans="1:15" ht="13.25" customHeight="1" x14ac:dyDescent="0.2">
      <c r="A26" s="35"/>
      <c r="B26" s="35"/>
      <c r="C26" s="35"/>
      <c r="D26" s="35"/>
      <c r="E26" s="35"/>
      <c r="F26" s="35"/>
      <c r="G26" s="41">
        <f>SUM(G23:G25)</f>
        <v>120000</v>
      </c>
      <c r="H26" s="35"/>
      <c r="I26" s="35"/>
      <c r="J26" s="35"/>
      <c r="K26" s="35"/>
      <c r="L26" s="35"/>
      <c r="M26" s="35"/>
      <c r="N26" s="35"/>
      <c r="O26" s="35"/>
    </row>
    <row r="27" spans="1:15" ht="13.25" customHeight="1" x14ac:dyDescent="0.2">
      <c r="A27" s="35"/>
      <c r="B27" s="35"/>
      <c r="C27" s="35"/>
      <c r="D27" s="35"/>
      <c r="E27" s="35"/>
      <c r="F27" s="35"/>
      <c r="G27" s="35"/>
      <c r="H27" s="35"/>
      <c r="I27" s="35"/>
      <c r="J27" s="35"/>
      <c r="K27" s="35"/>
      <c r="L27" s="35"/>
      <c r="M27" s="35"/>
      <c r="N27" s="35"/>
      <c r="O27" s="35"/>
    </row>
    <row r="28" spans="1:15" ht="13.25" customHeight="1" x14ac:dyDescent="0.2">
      <c r="A28" s="35"/>
      <c r="B28" s="35"/>
      <c r="C28" s="35"/>
      <c r="D28" s="35"/>
      <c r="E28" s="35"/>
      <c r="F28" s="47" t="s">
        <v>101</v>
      </c>
      <c r="G28" s="40">
        <f>G17+G26+G20</f>
        <v>235277</v>
      </c>
      <c r="H28" s="35"/>
      <c r="I28" s="35"/>
      <c r="J28" s="35"/>
      <c r="K28" s="35"/>
      <c r="L28" s="35"/>
      <c r="M28" s="35"/>
      <c r="N28" s="35"/>
      <c r="O28" s="35"/>
    </row>
    <row r="29" spans="1:15" ht="13.25" customHeight="1" x14ac:dyDescent="0.2">
      <c r="A29" s="35"/>
      <c r="B29" s="35"/>
      <c r="C29" s="35"/>
      <c r="D29" s="35"/>
      <c r="E29" s="35"/>
      <c r="F29" s="35"/>
      <c r="G29" s="35"/>
      <c r="H29" s="35"/>
      <c r="I29" s="35"/>
      <c r="J29" s="35"/>
      <c r="K29" s="35"/>
      <c r="L29" s="35"/>
      <c r="M29" s="35"/>
      <c r="N29" s="35"/>
      <c r="O29" s="35"/>
    </row>
    <row r="30" spans="1:15" ht="13.25" customHeight="1" x14ac:dyDescent="0.2">
      <c r="A30" s="35"/>
      <c r="B30" s="35"/>
      <c r="C30" s="35"/>
      <c r="D30" s="35"/>
      <c r="E30" s="35"/>
      <c r="F30" s="35"/>
      <c r="G30" s="35"/>
      <c r="H30" s="35"/>
      <c r="I30" s="35"/>
      <c r="J30" s="35"/>
      <c r="K30" s="35"/>
      <c r="L30" s="35"/>
      <c r="M30" s="35"/>
      <c r="N30" s="35"/>
      <c r="O30" s="35"/>
    </row>
    <row r="31" spans="1:15" ht="13.25" customHeight="1" x14ac:dyDescent="0.2">
      <c r="A31" s="35"/>
      <c r="B31" s="35"/>
      <c r="C31" s="35"/>
      <c r="D31" s="35"/>
      <c r="E31" s="35"/>
      <c r="F31" s="35"/>
      <c r="G31" s="35"/>
      <c r="H31" s="35"/>
      <c r="I31" s="35"/>
      <c r="J31" s="35"/>
      <c r="K31" s="35"/>
      <c r="L31" s="35"/>
      <c r="M31" s="35"/>
      <c r="N31" s="35"/>
      <c r="O31" s="35"/>
    </row>
    <row r="32" spans="1:15" ht="13.25" customHeight="1" x14ac:dyDescent="0.2">
      <c r="A32" s="35"/>
      <c r="B32" s="35"/>
      <c r="C32" s="35"/>
      <c r="D32" s="35"/>
      <c r="E32" s="35"/>
      <c r="F32" s="35"/>
      <c r="G32" s="77">
        <v>500</v>
      </c>
      <c r="H32" s="35"/>
      <c r="I32" s="79">
        <v>600</v>
      </c>
      <c r="J32" s="35"/>
      <c r="K32" s="35"/>
      <c r="L32" s="35"/>
      <c r="M32" s="35"/>
      <c r="N32" s="35"/>
      <c r="O32" s="35"/>
    </row>
    <row r="33" spans="1:15" ht="13.25" customHeight="1" x14ac:dyDescent="0.2">
      <c r="A33" s="35"/>
      <c r="B33" s="35"/>
      <c r="C33" s="35"/>
      <c r="D33" s="35"/>
      <c r="E33" s="35"/>
      <c r="F33" s="74" t="s">
        <v>106</v>
      </c>
      <c r="G33" s="83">
        <f>G32*10000/14-(G32*10000/14*D41)</f>
        <v>296428.57142857142</v>
      </c>
      <c r="H33" s="35"/>
      <c r="I33" s="84">
        <f>10000*I32/12-(10000*I32/12*D41)</f>
        <v>415000</v>
      </c>
      <c r="J33" s="35"/>
      <c r="K33" s="35"/>
      <c r="L33" s="35"/>
      <c r="M33" s="35"/>
      <c r="N33" s="35"/>
      <c r="O33" s="35"/>
    </row>
    <row r="34" spans="1:15" ht="13.25" customHeight="1" x14ac:dyDescent="0.2">
      <c r="A34" s="35"/>
      <c r="B34" s="35"/>
      <c r="C34" s="35"/>
      <c r="D34" s="35"/>
      <c r="E34" s="35"/>
      <c r="F34" s="80" t="s">
        <v>107</v>
      </c>
      <c r="G34" s="85">
        <f>G32*10000/14-(G32*10000/14*F41)</f>
        <v>289285.71428571432</v>
      </c>
      <c r="H34" s="35"/>
      <c r="I34" s="86"/>
      <c r="J34" s="35"/>
      <c r="K34" s="35"/>
      <c r="L34" s="35"/>
      <c r="M34" s="35"/>
      <c r="N34" s="35"/>
      <c r="O34" s="35"/>
    </row>
    <row r="35" spans="1:15" ht="13.25" customHeight="1" x14ac:dyDescent="0.2">
      <c r="A35" s="35"/>
      <c r="B35" s="35"/>
      <c r="C35" s="65"/>
      <c r="D35" s="74" t="s">
        <v>161</v>
      </c>
      <c r="E35" s="74" t="s">
        <v>162</v>
      </c>
      <c r="F35" s="74" t="s">
        <v>112</v>
      </c>
      <c r="G35" s="78" t="s">
        <v>164</v>
      </c>
      <c r="H35" s="81" t="s">
        <v>64</v>
      </c>
      <c r="I35" s="73" t="s">
        <v>163</v>
      </c>
      <c r="J35" s="81" t="s">
        <v>64</v>
      </c>
      <c r="K35" s="35"/>
      <c r="L35" s="35"/>
      <c r="M35" s="35"/>
      <c r="N35" s="35"/>
      <c r="O35" s="35"/>
    </row>
    <row r="36" spans="1:15" ht="13.25" customHeight="1" x14ac:dyDescent="0.2">
      <c r="A36" s="35"/>
      <c r="B36" s="35"/>
      <c r="C36" s="67" t="s">
        <v>158</v>
      </c>
      <c r="D36" s="71">
        <v>16</v>
      </c>
      <c r="E36" s="72">
        <f>E37*D37/D36</f>
        <v>80791.875</v>
      </c>
      <c r="F36" s="72" t="s">
        <v>111</v>
      </c>
      <c r="G36" s="69"/>
      <c r="H36" s="66"/>
      <c r="I36" s="76">
        <f>$I$33-E36</f>
        <v>334208.125</v>
      </c>
      <c r="J36" s="68">
        <f>I36-$G$28</f>
        <v>98931.125</v>
      </c>
      <c r="K36" s="35"/>
      <c r="L36" s="35"/>
      <c r="M36" s="35"/>
      <c r="N36" s="35"/>
      <c r="O36" s="35"/>
    </row>
    <row r="37" spans="1:15" ht="13.25" customHeight="1" x14ac:dyDescent="0.2">
      <c r="A37" s="35"/>
      <c r="B37" s="35"/>
      <c r="C37" s="67" t="s">
        <v>159</v>
      </c>
      <c r="D37" s="71">
        <v>9</v>
      </c>
      <c r="E37" s="72">
        <f>N81</f>
        <v>143630</v>
      </c>
      <c r="F37" s="72" t="s">
        <v>118</v>
      </c>
      <c r="G37" s="69"/>
      <c r="H37" s="66"/>
      <c r="I37" s="76">
        <f>$I$33-E37</f>
        <v>271370</v>
      </c>
      <c r="J37" s="68">
        <f t="shared" ref="J37:J38" si="0">I37-$G$28</f>
        <v>36093</v>
      </c>
      <c r="K37" s="35"/>
      <c r="L37" s="2"/>
      <c r="M37" s="35"/>
      <c r="N37" s="35"/>
      <c r="O37" s="35"/>
    </row>
    <row r="38" spans="1:15" ht="13.25" customHeight="1" x14ac:dyDescent="0.2">
      <c r="A38" s="35"/>
      <c r="B38" s="35"/>
      <c r="C38" s="67" t="s">
        <v>160</v>
      </c>
      <c r="D38" s="71"/>
      <c r="E38" s="72">
        <f>I10</f>
        <v>50000</v>
      </c>
      <c r="F38" s="72" t="s">
        <v>119</v>
      </c>
      <c r="G38" s="76">
        <f>G33-E38</f>
        <v>246428.57142857142</v>
      </c>
      <c r="H38" s="68">
        <f>G38-$G$28</f>
        <v>11151.57142857142</v>
      </c>
      <c r="I38" s="76">
        <f>$I$33-E38</f>
        <v>365000</v>
      </c>
      <c r="J38" s="68">
        <f t="shared" si="0"/>
        <v>129723</v>
      </c>
      <c r="K38" s="35"/>
      <c r="L38" s="35"/>
      <c r="M38" s="35"/>
      <c r="N38" s="35"/>
      <c r="O38" s="35"/>
    </row>
    <row r="39" spans="1:15" ht="13.25" customHeight="1" x14ac:dyDescent="0.2">
      <c r="A39" s="35"/>
      <c r="B39" s="35"/>
      <c r="C39" s="35"/>
      <c r="D39" s="35"/>
      <c r="E39" s="35"/>
      <c r="F39" s="35"/>
      <c r="G39" s="35"/>
      <c r="H39" s="35"/>
      <c r="I39" s="35"/>
      <c r="J39" s="35"/>
      <c r="K39" s="35"/>
      <c r="L39" s="35"/>
      <c r="M39" s="35"/>
      <c r="N39" s="35"/>
      <c r="O39" s="35"/>
    </row>
    <row r="40" spans="1:15" ht="13.25" customHeight="1" x14ac:dyDescent="0.2">
      <c r="A40" s="35"/>
      <c r="B40" s="35"/>
      <c r="C40" s="53" t="s">
        <v>105</v>
      </c>
      <c r="D40" s="64"/>
      <c r="E40" s="64"/>
      <c r="F40" s="64"/>
      <c r="G40" s="35"/>
      <c r="H40" s="82" t="s">
        <v>165</v>
      </c>
      <c r="I40" s="35"/>
      <c r="J40" s="82" t="s">
        <v>165</v>
      </c>
      <c r="K40" s="35"/>
      <c r="L40" s="35"/>
      <c r="M40" s="35"/>
      <c r="N40" s="35"/>
      <c r="O40" s="35"/>
    </row>
    <row r="41" spans="1:15" ht="13.25" customHeight="1" x14ac:dyDescent="0.2">
      <c r="A41" s="35"/>
      <c r="B41" s="35"/>
      <c r="C41" s="53" t="s">
        <v>106</v>
      </c>
      <c r="D41" s="75">
        <v>0.17</v>
      </c>
      <c r="E41" s="53" t="s">
        <v>107</v>
      </c>
      <c r="F41" s="75">
        <v>0.19</v>
      </c>
      <c r="G41" s="35"/>
      <c r="H41" s="70">
        <f>(H38*12)+(G34*2)</f>
        <v>712390.28571428568</v>
      </c>
      <c r="I41" s="35"/>
      <c r="J41" s="70">
        <f>J36*12</f>
        <v>1187173.5</v>
      </c>
      <c r="K41" s="35"/>
      <c r="L41" s="35"/>
      <c r="M41" s="35"/>
      <c r="N41" s="35"/>
      <c r="O41" s="35"/>
    </row>
    <row r="42" spans="1:15" ht="13.25" customHeight="1" x14ac:dyDescent="0.2">
      <c r="A42" s="35"/>
      <c r="B42" s="35"/>
      <c r="C42" s="35"/>
      <c r="D42" s="2"/>
      <c r="E42" s="2"/>
      <c r="F42" s="2"/>
      <c r="G42" s="2"/>
      <c r="H42" s="2"/>
      <c r="I42" s="35"/>
      <c r="J42" s="70">
        <f t="shared" ref="J42:J43" si="1">J37*12</f>
        <v>433116</v>
      </c>
      <c r="K42" s="35"/>
      <c r="L42" s="35"/>
      <c r="M42" s="35"/>
      <c r="N42" s="35"/>
      <c r="O42" s="35"/>
    </row>
    <row r="43" spans="1:15" ht="13.25" customHeight="1" x14ac:dyDescent="0.2">
      <c r="A43" s="35"/>
      <c r="B43" s="35"/>
      <c r="C43" s="35"/>
      <c r="D43" s="2"/>
      <c r="E43" s="2"/>
      <c r="F43" s="2"/>
      <c r="G43" s="2"/>
      <c r="H43" s="2"/>
      <c r="I43" s="35"/>
      <c r="J43" s="70">
        <f t="shared" si="1"/>
        <v>1556676</v>
      </c>
      <c r="K43" s="35"/>
      <c r="L43" s="35"/>
      <c r="M43" s="35"/>
      <c r="N43" s="35"/>
      <c r="O43" s="35"/>
    </row>
    <row r="44" spans="1:15" ht="13.25" customHeight="1" x14ac:dyDescent="0.2">
      <c r="A44" s="35"/>
      <c r="B44" s="35"/>
      <c r="C44" s="35"/>
      <c r="D44" s="2"/>
      <c r="E44" s="2"/>
      <c r="F44" s="2"/>
      <c r="G44" s="2"/>
      <c r="H44" s="2"/>
      <c r="I44" s="35"/>
      <c r="J44" s="35"/>
      <c r="K44" s="35"/>
      <c r="L44" s="35"/>
      <c r="M44" s="35"/>
      <c r="N44" s="35"/>
      <c r="O44" s="35"/>
    </row>
    <row r="45" spans="1:15" ht="13.25" customHeight="1" x14ac:dyDescent="0.2">
      <c r="A45" s="35"/>
      <c r="B45" s="35"/>
      <c r="C45" s="35"/>
      <c r="D45" s="2"/>
      <c r="E45" s="2"/>
      <c r="F45" s="2"/>
      <c r="G45" s="2"/>
      <c r="H45" s="2"/>
      <c r="I45" s="35"/>
      <c r="J45" s="35"/>
      <c r="K45" s="35"/>
      <c r="L45" s="35"/>
      <c r="M45" s="35"/>
      <c r="N45" s="35"/>
      <c r="O45" s="35"/>
    </row>
    <row r="46" spans="1:15" ht="13.25" customHeight="1" x14ac:dyDescent="0.2">
      <c r="A46" s="35"/>
      <c r="B46" s="35"/>
      <c r="C46" s="35"/>
      <c r="D46" s="35"/>
      <c r="E46" s="35"/>
      <c r="F46" s="35"/>
      <c r="G46" s="35"/>
      <c r="H46" s="35"/>
      <c r="I46" s="35"/>
      <c r="J46" s="35"/>
      <c r="K46" s="35"/>
      <c r="L46" s="35"/>
      <c r="M46" s="35"/>
      <c r="N46" s="35"/>
      <c r="O46" s="35"/>
    </row>
    <row r="61" spans="2:24" ht="13.5" thickBot="1" x14ac:dyDescent="0.25"/>
    <row r="62" spans="2:24" ht="18" thickBot="1" x14ac:dyDescent="0.25">
      <c r="B62" s="32">
        <v>143630</v>
      </c>
      <c r="G62" t="s">
        <v>94</v>
      </c>
      <c r="J62" t="s">
        <v>93</v>
      </c>
      <c r="M62" s="34" t="s">
        <v>92</v>
      </c>
      <c r="P62" s="34" t="s">
        <v>90</v>
      </c>
      <c r="S62" s="34" t="s">
        <v>76</v>
      </c>
      <c r="W62" s="34" t="s">
        <v>155</v>
      </c>
    </row>
    <row r="63" spans="2:24" ht="18" thickBot="1" x14ac:dyDescent="0.25">
      <c r="B63">
        <v>9</v>
      </c>
      <c r="M63" s="34"/>
      <c r="P63" s="34"/>
      <c r="S63" s="34"/>
    </row>
    <row r="64" spans="2:24" ht="15.5" thickBot="1" x14ac:dyDescent="0.25">
      <c r="B64">
        <f>B62*B63</f>
        <v>1292670</v>
      </c>
      <c r="G64" s="31" t="s">
        <v>67</v>
      </c>
      <c r="H64" s="32">
        <v>350000</v>
      </c>
      <c r="J64" s="31" t="s">
        <v>67</v>
      </c>
      <c r="K64" s="32">
        <v>379540</v>
      </c>
      <c r="M64" s="31" t="s">
        <v>67</v>
      </c>
      <c r="N64" s="32">
        <v>422394</v>
      </c>
      <c r="P64" s="31" t="s">
        <v>67</v>
      </c>
      <c r="Q64" s="32">
        <v>364840</v>
      </c>
      <c r="S64" s="31" t="s">
        <v>67</v>
      </c>
      <c r="T64" s="32">
        <v>364840</v>
      </c>
      <c r="W64" s="31" t="s">
        <v>67</v>
      </c>
      <c r="X64" s="32">
        <v>364830</v>
      </c>
    </row>
    <row r="65" spans="2:24" ht="15.5" thickBot="1" x14ac:dyDescent="0.25">
      <c r="G65" s="31" t="s">
        <v>68</v>
      </c>
      <c r="H65" s="32">
        <v>214683</v>
      </c>
      <c r="J65" s="31" t="s">
        <v>68</v>
      </c>
      <c r="K65" s="32">
        <v>164248</v>
      </c>
      <c r="M65" s="31" t="s">
        <v>68</v>
      </c>
      <c r="N65" s="32">
        <v>205777</v>
      </c>
      <c r="P65" s="31" t="s">
        <v>68</v>
      </c>
      <c r="Q65" s="32">
        <v>205777</v>
      </c>
      <c r="S65" s="31" t="s">
        <v>68</v>
      </c>
      <c r="T65" s="32">
        <v>208447</v>
      </c>
      <c r="U65" s="63" t="s">
        <v>157</v>
      </c>
      <c r="W65" s="31" t="s">
        <v>68</v>
      </c>
      <c r="X65" s="32">
        <v>158325</v>
      </c>
    </row>
    <row r="66" spans="2:24" ht="15.5" thickBot="1" x14ac:dyDescent="0.25">
      <c r="G66" s="31" t="s">
        <v>69</v>
      </c>
      <c r="H66" s="32">
        <v>135317</v>
      </c>
      <c r="J66" s="31" t="s">
        <v>69</v>
      </c>
      <c r="K66" s="32">
        <v>215292</v>
      </c>
      <c r="M66" s="31" t="s">
        <v>69</v>
      </c>
      <c r="N66" s="32">
        <v>216617</v>
      </c>
      <c r="P66" s="31" t="s">
        <v>69</v>
      </c>
      <c r="Q66" s="32">
        <v>159063</v>
      </c>
      <c r="S66" s="31" t="s">
        <v>69</v>
      </c>
      <c r="T66" s="32">
        <v>156393</v>
      </c>
      <c r="U66" s="30">
        <f>X66-T66</f>
        <v>50112</v>
      </c>
      <c r="W66" s="31" t="s">
        <v>69</v>
      </c>
      <c r="X66" s="32">
        <v>206505</v>
      </c>
    </row>
    <row r="67" spans="2:24" ht="13.5" thickBot="1" x14ac:dyDescent="0.25">
      <c r="B67">
        <v>50000</v>
      </c>
      <c r="U67" s="30">
        <f t="shared" ref="U67:U89" si="2">X67-T67</f>
        <v>0</v>
      </c>
    </row>
    <row r="68" spans="2:24" ht="30.5" thickBot="1" x14ac:dyDescent="0.25">
      <c r="B68">
        <v>19</v>
      </c>
      <c r="G68" s="31" t="s">
        <v>77</v>
      </c>
      <c r="H68" s="32">
        <v>1925</v>
      </c>
      <c r="J68" s="31" t="s">
        <v>77</v>
      </c>
      <c r="K68" s="32">
        <v>2006</v>
      </c>
      <c r="M68" s="31" t="s">
        <v>77</v>
      </c>
      <c r="N68" s="32">
        <v>2007</v>
      </c>
      <c r="P68" s="31" t="s">
        <v>77</v>
      </c>
      <c r="Q68" s="32">
        <v>2007</v>
      </c>
      <c r="S68" s="31" t="s">
        <v>77</v>
      </c>
      <c r="T68" s="32">
        <v>2007</v>
      </c>
      <c r="U68" s="30">
        <f t="shared" si="2"/>
        <v>-183</v>
      </c>
      <c r="W68" s="31" t="s">
        <v>77</v>
      </c>
      <c r="X68" s="32">
        <v>1824</v>
      </c>
    </row>
    <row r="69" spans="2:24" ht="30.5" thickBot="1" x14ac:dyDescent="0.25">
      <c r="B69">
        <f>B67*B68</f>
        <v>950000</v>
      </c>
      <c r="G69" s="31" t="s">
        <v>78</v>
      </c>
      <c r="H69" s="32">
        <v>15750</v>
      </c>
      <c r="J69" s="31" t="s">
        <v>78</v>
      </c>
      <c r="K69" s="32">
        <v>16200</v>
      </c>
      <c r="M69" s="31" t="s">
        <v>78</v>
      </c>
      <c r="N69" s="32">
        <v>16200</v>
      </c>
      <c r="P69" s="31" t="s">
        <v>78</v>
      </c>
      <c r="Q69" s="32">
        <v>16200</v>
      </c>
      <c r="S69" s="31" t="s">
        <v>78</v>
      </c>
      <c r="T69" s="32">
        <v>16200</v>
      </c>
      <c r="U69" s="30">
        <f t="shared" si="2"/>
        <v>0</v>
      </c>
      <c r="W69" s="31" t="s">
        <v>78</v>
      </c>
      <c r="X69" s="32">
        <v>16200</v>
      </c>
    </row>
    <row r="70" spans="2:24" ht="30.5" thickBot="1" x14ac:dyDescent="0.25">
      <c r="G70" s="31" t="s">
        <v>79</v>
      </c>
      <c r="H70" s="32">
        <v>3150</v>
      </c>
      <c r="J70" s="31" t="s">
        <v>79</v>
      </c>
      <c r="K70" s="32">
        <v>3240</v>
      </c>
      <c r="M70" s="31" t="s">
        <v>79</v>
      </c>
      <c r="N70" s="32">
        <v>3240</v>
      </c>
      <c r="P70" s="31" t="s">
        <v>79</v>
      </c>
      <c r="Q70" s="32">
        <v>3240</v>
      </c>
      <c r="S70" s="31" t="s">
        <v>79</v>
      </c>
      <c r="T70" s="32">
        <v>3240</v>
      </c>
      <c r="U70" s="30">
        <f t="shared" si="2"/>
        <v>-180</v>
      </c>
      <c r="W70" s="31" t="s">
        <v>79</v>
      </c>
      <c r="X70" s="32">
        <v>3060</v>
      </c>
    </row>
    <row r="71" spans="2:24" ht="30.5" thickBot="1" x14ac:dyDescent="0.25">
      <c r="B71">
        <f>B64-B69</f>
        <v>342670</v>
      </c>
      <c r="G71" s="31" t="s">
        <v>80</v>
      </c>
      <c r="H71" s="32">
        <v>32025</v>
      </c>
      <c r="J71" s="31" t="s">
        <v>80</v>
      </c>
      <c r="K71" s="32">
        <v>32940</v>
      </c>
      <c r="M71" s="31" t="s">
        <v>80</v>
      </c>
      <c r="N71" s="32">
        <v>32940</v>
      </c>
      <c r="P71" s="31" t="s">
        <v>80</v>
      </c>
      <c r="Q71" s="32">
        <v>32940</v>
      </c>
      <c r="S71" s="31" t="s">
        <v>80</v>
      </c>
      <c r="T71" s="32">
        <v>32940</v>
      </c>
      <c r="U71" s="30">
        <f t="shared" si="2"/>
        <v>0</v>
      </c>
      <c r="W71" s="31" t="s">
        <v>80</v>
      </c>
      <c r="X71" s="32">
        <v>32940</v>
      </c>
    </row>
    <row r="72" spans="2:24" ht="15.5" thickBot="1" x14ac:dyDescent="0.25">
      <c r="B72">
        <v>7</v>
      </c>
      <c r="U72" s="30">
        <f t="shared" si="2"/>
        <v>0</v>
      </c>
      <c r="W72" s="31"/>
      <c r="X72" s="33"/>
    </row>
    <row r="73" spans="2:24" ht="15.5" thickBot="1" x14ac:dyDescent="0.25">
      <c r="B73">
        <f>B71/B72</f>
        <v>48952.857142857145</v>
      </c>
      <c r="G73" s="31" t="s">
        <v>81</v>
      </c>
      <c r="H73" s="32">
        <v>18203</v>
      </c>
      <c r="J73" s="31" t="s">
        <v>81</v>
      </c>
      <c r="K73" s="32">
        <v>8180</v>
      </c>
      <c r="M73" s="31" t="s">
        <v>81</v>
      </c>
      <c r="N73" s="32">
        <v>7760</v>
      </c>
      <c r="P73" s="31" t="s">
        <v>81</v>
      </c>
      <c r="Q73" s="32">
        <v>7760</v>
      </c>
      <c r="S73" s="31" t="s">
        <v>81</v>
      </c>
      <c r="T73" s="32">
        <v>7760</v>
      </c>
      <c r="U73" s="30">
        <f t="shared" si="2"/>
        <v>10</v>
      </c>
      <c r="W73" s="31" t="s">
        <v>81</v>
      </c>
      <c r="X73" s="32">
        <v>7770</v>
      </c>
    </row>
    <row r="74" spans="2:24" ht="30.5" thickBot="1" x14ac:dyDescent="0.25">
      <c r="C74" s="30">
        <f>B62-B67</f>
        <v>93630</v>
      </c>
      <c r="J74" s="31" t="s">
        <v>82</v>
      </c>
      <c r="K74" s="32">
        <v>41948</v>
      </c>
      <c r="M74" s="31" t="s">
        <v>82</v>
      </c>
      <c r="N74" s="33"/>
      <c r="P74" s="31" t="s">
        <v>82</v>
      </c>
      <c r="Q74" s="33"/>
      <c r="S74" s="31" t="s">
        <v>82</v>
      </c>
      <c r="T74" s="33"/>
      <c r="U74" s="30">
        <f t="shared" si="2"/>
        <v>0</v>
      </c>
      <c r="W74" s="31" t="s">
        <v>82</v>
      </c>
      <c r="X74" s="33"/>
    </row>
    <row r="75" spans="2:24" ht="15.5" thickBot="1" x14ac:dyDescent="0.25">
      <c r="C75" s="30">
        <f>Q66+C74</f>
        <v>252693</v>
      </c>
      <c r="J75" s="31"/>
      <c r="K75" s="33"/>
      <c r="M75" s="31"/>
      <c r="N75" s="33"/>
      <c r="P75" s="31"/>
      <c r="Q75" s="33"/>
      <c r="S75" s="31"/>
      <c r="T75" s="33"/>
      <c r="U75" s="30">
        <f t="shared" si="2"/>
        <v>0</v>
      </c>
      <c r="W75" s="31"/>
      <c r="X75" s="33"/>
    </row>
    <row r="76" spans="2:24" ht="15.5" thickBot="1" x14ac:dyDescent="0.25">
      <c r="J76" s="31" t="s">
        <v>83</v>
      </c>
      <c r="K76" s="33">
        <v>0</v>
      </c>
      <c r="M76" s="31" t="s">
        <v>83</v>
      </c>
      <c r="N76" s="33">
        <v>0</v>
      </c>
      <c r="P76" s="31" t="s">
        <v>83</v>
      </c>
      <c r="Q76" s="33">
        <v>0</v>
      </c>
      <c r="S76" s="31" t="s">
        <v>83</v>
      </c>
      <c r="T76" s="33">
        <v>0</v>
      </c>
      <c r="U76" s="30">
        <f t="shared" si="2"/>
        <v>0</v>
      </c>
      <c r="W76" s="31" t="s">
        <v>83</v>
      </c>
      <c r="X76" s="33">
        <v>0</v>
      </c>
    </row>
    <row r="77" spans="2:24" ht="15.5" thickBot="1" x14ac:dyDescent="0.25">
      <c r="J77" s="31" t="s">
        <v>84</v>
      </c>
      <c r="K77" s="33">
        <v>0</v>
      </c>
      <c r="M77" s="31" t="s">
        <v>84</v>
      </c>
      <c r="N77" s="33"/>
      <c r="P77" s="31" t="s">
        <v>84</v>
      </c>
      <c r="Q77" s="33"/>
      <c r="S77" s="31" t="s">
        <v>84</v>
      </c>
      <c r="T77" s="33"/>
      <c r="U77" s="30">
        <f t="shared" si="2"/>
        <v>0</v>
      </c>
      <c r="W77" s="31" t="s">
        <v>84</v>
      </c>
      <c r="X77" s="33"/>
    </row>
    <row r="78" spans="2:24" ht="15.5" thickBot="1" x14ac:dyDescent="0.25">
      <c r="J78" s="31" t="s">
        <v>85</v>
      </c>
      <c r="K78" s="33">
        <v>0</v>
      </c>
      <c r="M78" s="31" t="s">
        <v>85</v>
      </c>
      <c r="N78" s="33">
        <v>0</v>
      </c>
      <c r="P78" s="31" t="s">
        <v>85</v>
      </c>
      <c r="Q78" s="33">
        <v>0</v>
      </c>
      <c r="S78" s="31" t="s">
        <v>85</v>
      </c>
      <c r="T78" s="33"/>
      <c r="U78" s="30">
        <f t="shared" si="2"/>
        <v>0</v>
      </c>
      <c r="W78" s="31" t="s">
        <v>85</v>
      </c>
      <c r="X78" s="33"/>
    </row>
    <row r="79" spans="2:24" ht="15.5" thickBot="1" x14ac:dyDescent="0.25">
      <c r="J79" s="31" t="s">
        <v>86</v>
      </c>
      <c r="K79" s="33">
        <v>0</v>
      </c>
      <c r="M79" s="31" t="s">
        <v>86</v>
      </c>
      <c r="N79" s="33">
        <v>0</v>
      </c>
      <c r="P79" s="31" t="s">
        <v>86</v>
      </c>
      <c r="Q79" s="33">
        <v>0</v>
      </c>
      <c r="S79" s="31" t="s">
        <v>86</v>
      </c>
      <c r="T79" s="33">
        <v>0</v>
      </c>
      <c r="U79" s="30">
        <f t="shared" si="2"/>
        <v>0</v>
      </c>
      <c r="W79" s="31" t="s">
        <v>86</v>
      </c>
      <c r="X79" s="33">
        <v>0</v>
      </c>
    </row>
    <row r="80" spans="2:24" ht="15.5" thickBot="1" x14ac:dyDescent="0.25">
      <c r="J80" s="31" t="s">
        <v>87</v>
      </c>
      <c r="K80" s="33">
        <v>0</v>
      </c>
      <c r="M80" s="31" t="s">
        <v>87</v>
      </c>
      <c r="N80" s="33">
        <v>0</v>
      </c>
      <c r="P80" s="31" t="s">
        <v>87</v>
      </c>
      <c r="Q80" s="33">
        <v>0</v>
      </c>
      <c r="S80" s="31" t="s">
        <v>87</v>
      </c>
      <c r="T80" s="33">
        <v>0</v>
      </c>
      <c r="U80" s="30">
        <f t="shared" si="2"/>
        <v>0</v>
      </c>
      <c r="W80" s="31" t="s">
        <v>87</v>
      </c>
      <c r="X80" s="33">
        <v>0</v>
      </c>
    </row>
    <row r="81" spans="10:24" ht="30.5" thickBot="1" x14ac:dyDescent="0.25">
      <c r="J81" s="31" t="s">
        <v>95</v>
      </c>
      <c r="K81" s="32">
        <v>143630</v>
      </c>
      <c r="M81" s="31" t="s">
        <v>88</v>
      </c>
      <c r="N81" s="32">
        <v>143630</v>
      </c>
      <c r="P81" s="31" t="s">
        <v>88</v>
      </c>
      <c r="Q81" s="32">
        <v>143630</v>
      </c>
      <c r="S81" s="31" t="s">
        <v>88</v>
      </c>
      <c r="T81" s="32">
        <v>146300</v>
      </c>
      <c r="U81" s="30">
        <f t="shared" si="2"/>
        <v>-49769</v>
      </c>
      <c r="W81" s="31" t="s">
        <v>88</v>
      </c>
      <c r="X81" s="32">
        <v>96531</v>
      </c>
    </row>
    <row r="82" spans="10:24" ht="13.5" thickBot="1" x14ac:dyDescent="0.25">
      <c r="U82" s="30">
        <f t="shared" si="2"/>
        <v>0</v>
      </c>
    </row>
    <row r="83" spans="10:24" ht="15.5" thickBot="1" x14ac:dyDescent="0.25">
      <c r="J83" s="31" t="s">
        <v>70</v>
      </c>
      <c r="K83" s="32">
        <v>273942</v>
      </c>
      <c r="M83" s="31" t="s">
        <v>70</v>
      </c>
      <c r="N83" s="32">
        <v>273942</v>
      </c>
      <c r="P83" s="31" t="s">
        <v>75</v>
      </c>
      <c r="Q83" s="32">
        <v>273942</v>
      </c>
      <c r="S83" s="31" t="s">
        <v>70</v>
      </c>
      <c r="T83" s="32">
        <v>273942</v>
      </c>
      <c r="U83" s="30">
        <f t="shared" si="2"/>
        <v>0</v>
      </c>
      <c r="W83" s="31" t="s">
        <v>156</v>
      </c>
      <c r="X83" s="32">
        <v>273942</v>
      </c>
    </row>
    <row r="84" spans="10:24" ht="15.5" thickBot="1" x14ac:dyDescent="0.25">
      <c r="J84" s="31" t="s">
        <v>71</v>
      </c>
      <c r="K84" s="33">
        <v>0</v>
      </c>
      <c r="M84" s="31" t="s">
        <v>71</v>
      </c>
      <c r="N84" s="33">
        <v>0</v>
      </c>
      <c r="P84" s="31" t="s">
        <v>71</v>
      </c>
      <c r="Q84" s="33">
        <v>0</v>
      </c>
      <c r="S84" s="31" t="s">
        <v>71</v>
      </c>
      <c r="T84" s="33">
        <v>0</v>
      </c>
      <c r="U84" s="30">
        <f t="shared" si="2"/>
        <v>0</v>
      </c>
      <c r="W84" s="31" t="s">
        <v>71</v>
      </c>
      <c r="X84" s="33">
        <v>0</v>
      </c>
    </row>
    <row r="85" spans="10:24" ht="15.5" thickBot="1" x14ac:dyDescent="0.25">
      <c r="J85" s="31" t="s">
        <v>72</v>
      </c>
      <c r="K85" s="33">
        <v>0</v>
      </c>
      <c r="M85" s="31" t="s">
        <v>72</v>
      </c>
      <c r="N85" s="33">
        <v>0</v>
      </c>
      <c r="P85" s="31" t="s">
        <v>72</v>
      </c>
      <c r="Q85" s="33">
        <v>0</v>
      </c>
      <c r="S85" s="31" t="s">
        <v>72</v>
      </c>
      <c r="T85" s="33">
        <v>0</v>
      </c>
      <c r="U85" s="30">
        <f t="shared" si="2"/>
        <v>0</v>
      </c>
      <c r="W85" s="31" t="s">
        <v>72</v>
      </c>
      <c r="X85" s="33">
        <v>0</v>
      </c>
    </row>
    <row r="86" spans="10:24" ht="15.5" thickBot="1" x14ac:dyDescent="0.25">
      <c r="J86" s="31" t="s">
        <v>73</v>
      </c>
      <c r="K86" s="32">
        <v>46058</v>
      </c>
      <c r="M86" s="31" t="s">
        <v>73</v>
      </c>
      <c r="N86" s="32">
        <v>46058</v>
      </c>
      <c r="P86" s="31" t="s">
        <v>73</v>
      </c>
      <c r="Q86" s="32">
        <v>46058</v>
      </c>
      <c r="S86" s="31" t="s">
        <v>73</v>
      </c>
      <c r="T86" s="32">
        <v>46058</v>
      </c>
      <c r="U86" s="30">
        <f t="shared" si="2"/>
        <v>0</v>
      </c>
      <c r="W86" s="31" t="s">
        <v>73</v>
      </c>
      <c r="X86" s="32">
        <v>46058</v>
      </c>
    </row>
    <row r="87" spans="10:24" ht="15.5" thickBot="1" x14ac:dyDescent="0.25">
      <c r="J87" s="31" t="s">
        <v>74</v>
      </c>
      <c r="K87" s="32">
        <v>30000</v>
      </c>
      <c r="M87" s="31" t="s">
        <v>74</v>
      </c>
      <c r="N87" s="32">
        <v>30000</v>
      </c>
      <c r="P87" s="31" t="s">
        <v>74</v>
      </c>
      <c r="Q87" s="32">
        <v>30000</v>
      </c>
      <c r="S87" s="31" t="s">
        <v>74</v>
      </c>
      <c r="T87" s="32">
        <v>30000</v>
      </c>
      <c r="U87" s="30">
        <f t="shared" si="2"/>
        <v>0</v>
      </c>
      <c r="W87" s="31" t="s">
        <v>74</v>
      </c>
      <c r="X87" s="32">
        <v>30000</v>
      </c>
    </row>
    <row r="88" spans="10:24" ht="13.5" thickBot="1" x14ac:dyDescent="0.25">
      <c r="U88" s="30">
        <f t="shared" si="2"/>
        <v>0</v>
      </c>
    </row>
    <row r="89" spans="10:24" ht="15.5" thickBot="1" x14ac:dyDescent="0.25">
      <c r="J89" s="31" t="s">
        <v>89</v>
      </c>
      <c r="K89" s="32">
        <v>14840</v>
      </c>
      <c r="M89" s="31" t="s">
        <v>89</v>
      </c>
      <c r="N89" s="32">
        <v>14840</v>
      </c>
      <c r="P89" s="31" t="s">
        <v>89</v>
      </c>
      <c r="Q89" s="32">
        <v>14840</v>
      </c>
      <c r="S89" s="31" t="s">
        <v>89</v>
      </c>
      <c r="T89" s="32">
        <v>14840</v>
      </c>
      <c r="U89" s="30">
        <f t="shared" si="2"/>
        <v>-10</v>
      </c>
      <c r="W89" s="31" t="s">
        <v>89</v>
      </c>
      <c r="X89" s="32">
        <v>14830</v>
      </c>
    </row>
    <row r="90" spans="10:24" ht="13.5" thickBot="1" x14ac:dyDescent="0.25">
      <c r="U90" s="30">
        <f>SUM(U66:U89)</f>
        <v>-20</v>
      </c>
    </row>
    <row r="91" spans="10:24" ht="15.5" thickBot="1" x14ac:dyDescent="0.25">
      <c r="J91" s="31" t="s">
        <v>91</v>
      </c>
      <c r="K91" s="32">
        <v>14700</v>
      </c>
      <c r="M91" s="31" t="s">
        <v>91</v>
      </c>
      <c r="N91" s="32">
        <v>57554</v>
      </c>
    </row>
  </sheetData>
  <mergeCells count="1">
    <mergeCell ref="C5:G5"/>
  </mergeCells>
  <phoneticPr fontId="2"/>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AI33"/>
  <sheetViews>
    <sheetView tabSelected="1" zoomScale="55" zoomScaleNormal="55" workbookViewId="0">
      <selection activeCell="T42" sqref="T42"/>
    </sheetView>
  </sheetViews>
  <sheetFormatPr defaultRowHeight="13" x14ac:dyDescent="0.2"/>
  <cols>
    <col min="1" max="1" width="9.6328125" customWidth="1"/>
    <col min="2" max="2" width="8.26953125" customWidth="1"/>
    <col min="3" max="6" width="9.6328125" customWidth="1"/>
    <col min="7" max="7" width="6.6328125" customWidth="1"/>
    <col min="8" max="8" width="30.453125" customWidth="1"/>
    <col min="9" max="9" width="5.1796875" customWidth="1"/>
    <col min="10" max="10" width="15" customWidth="1"/>
    <col min="11" max="11" width="20.6328125" customWidth="1"/>
    <col min="12" max="29" width="9.6328125" customWidth="1"/>
  </cols>
  <sheetData>
    <row r="2" spans="2:35" x14ac:dyDescent="0.2">
      <c r="B2" s="53" t="s">
        <v>260</v>
      </c>
      <c r="C2" s="133" t="s">
        <v>203</v>
      </c>
      <c r="D2" s="133"/>
      <c r="E2" s="132" t="s">
        <v>204</v>
      </c>
      <c r="F2" s="132"/>
      <c r="I2" s="134"/>
      <c r="J2" s="134"/>
      <c r="K2" s="134"/>
      <c r="L2" s="134"/>
      <c r="M2" s="134"/>
      <c r="N2" s="134"/>
      <c r="O2" s="134"/>
      <c r="P2" s="134"/>
      <c r="Q2" s="134"/>
      <c r="R2" s="134"/>
      <c r="S2" s="134"/>
      <c r="T2" s="134"/>
      <c r="U2" s="134"/>
      <c r="V2" s="134"/>
      <c r="W2" s="134"/>
      <c r="X2" s="134"/>
      <c r="Y2" s="134"/>
      <c r="Z2" s="134"/>
      <c r="AA2" s="134"/>
      <c r="AB2" s="134"/>
      <c r="AC2" s="134"/>
      <c r="AD2" s="134"/>
      <c r="AE2" s="134"/>
      <c r="AF2" s="134"/>
      <c r="AG2" s="134"/>
      <c r="AH2" s="134"/>
      <c r="AI2" s="134"/>
    </row>
    <row r="3" spans="2:35" x14ac:dyDescent="0.2">
      <c r="B3" s="53"/>
      <c r="C3" s="93" t="s">
        <v>205</v>
      </c>
      <c r="D3" s="93" t="s">
        <v>206</v>
      </c>
      <c r="E3" s="94" t="s">
        <v>205</v>
      </c>
      <c r="F3" s="94" t="s">
        <v>206</v>
      </c>
      <c r="I3" s="135"/>
      <c r="J3" s="136"/>
      <c r="K3" s="136"/>
      <c r="L3" s="135" t="s">
        <v>270</v>
      </c>
      <c r="M3" s="135"/>
      <c r="N3" s="135"/>
      <c r="O3" s="137" t="s">
        <v>271</v>
      </c>
      <c r="P3" s="137"/>
      <c r="Q3" s="137"/>
      <c r="R3" s="137"/>
      <c r="S3" s="135" t="s">
        <v>272</v>
      </c>
      <c r="T3" s="135"/>
      <c r="U3" s="135"/>
      <c r="V3" s="138"/>
      <c r="W3" s="139" t="s">
        <v>273</v>
      </c>
      <c r="X3" s="139"/>
      <c r="Y3" s="139"/>
      <c r="Z3" s="135" t="s">
        <v>274</v>
      </c>
      <c r="AA3" s="135"/>
      <c r="AB3" s="135"/>
      <c r="AC3" s="135"/>
      <c r="AD3" s="139" t="s">
        <v>275</v>
      </c>
      <c r="AE3" s="139"/>
      <c r="AF3" s="139"/>
      <c r="AG3" s="135" t="s">
        <v>276</v>
      </c>
      <c r="AH3" s="135"/>
      <c r="AI3" s="135"/>
    </row>
    <row r="4" spans="2:35" x14ac:dyDescent="0.2">
      <c r="B4" s="53">
        <v>1</v>
      </c>
      <c r="C4" s="53" t="s">
        <v>207</v>
      </c>
      <c r="D4" s="91">
        <v>0.53125</v>
      </c>
      <c r="E4" s="53" t="s">
        <v>207</v>
      </c>
      <c r="F4" s="91">
        <v>0.54236111111111118</v>
      </c>
      <c r="I4" s="140"/>
      <c r="J4" s="141"/>
      <c r="K4" s="141"/>
      <c r="L4" s="142" t="s">
        <v>277</v>
      </c>
      <c r="M4" s="143" t="s">
        <v>278</v>
      </c>
      <c r="N4" s="142" t="s">
        <v>279</v>
      </c>
      <c r="O4" s="144" t="s">
        <v>280</v>
      </c>
      <c r="P4" s="145" t="s">
        <v>277</v>
      </c>
      <c r="Q4" s="144" t="s">
        <v>278</v>
      </c>
      <c r="R4" s="145" t="s">
        <v>279</v>
      </c>
      <c r="S4" s="143" t="s">
        <v>280</v>
      </c>
      <c r="T4" s="142" t="s">
        <v>277</v>
      </c>
      <c r="U4" s="142" t="s">
        <v>281</v>
      </c>
      <c r="V4" s="140" t="s">
        <v>279</v>
      </c>
      <c r="W4" s="145" t="s">
        <v>277</v>
      </c>
      <c r="X4" s="144" t="s">
        <v>278</v>
      </c>
      <c r="Y4" s="145" t="s">
        <v>279</v>
      </c>
      <c r="Z4" s="143" t="s">
        <v>280</v>
      </c>
      <c r="AA4" s="142" t="s">
        <v>277</v>
      </c>
      <c r="AB4" s="142" t="s">
        <v>281</v>
      </c>
      <c r="AC4" s="140" t="s">
        <v>279</v>
      </c>
      <c r="AD4" s="145" t="s">
        <v>277</v>
      </c>
      <c r="AE4" s="144" t="s">
        <v>278</v>
      </c>
      <c r="AF4" s="145" t="s">
        <v>279</v>
      </c>
      <c r="AG4" s="142" t="s">
        <v>277</v>
      </c>
      <c r="AH4" s="142" t="s">
        <v>281</v>
      </c>
      <c r="AI4" s="140" t="s">
        <v>279</v>
      </c>
    </row>
    <row r="5" spans="2:35" x14ac:dyDescent="0.2">
      <c r="B5" s="53">
        <v>2</v>
      </c>
      <c r="C5" s="53" t="s">
        <v>207</v>
      </c>
      <c r="D5" s="91">
        <v>0.33333333333333331</v>
      </c>
      <c r="E5" s="53" t="s">
        <v>207</v>
      </c>
      <c r="F5" s="91">
        <v>0.41736111111111113</v>
      </c>
      <c r="I5" s="44">
        <v>1</v>
      </c>
      <c r="J5" s="146" t="s">
        <v>246</v>
      </c>
      <c r="K5" s="146" t="s">
        <v>282</v>
      </c>
      <c r="L5" s="143">
        <v>62</v>
      </c>
      <c r="M5" s="143">
        <v>91</v>
      </c>
      <c r="N5" s="143">
        <v>94</v>
      </c>
      <c r="O5" s="143">
        <v>94</v>
      </c>
      <c r="P5" s="143">
        <v>97</v>
      </c>
      <c r="Q5" s="143">
        <v>21</v>
      </c>
      <c r="R5" s="140"/>
      <c r="S5" s="140"/>
      <c r="T5" s="140"/>
      <c r="U5" s="140">
        <v>24</v>
      </c>
      <c r="V5" s="140">
        <v>24</v>
      </c>
      <c r="W5" s="140">
        <v>33</v>
      </c>
      <c r="X5" s="140">
        <v>33</v>
      </c>
      <c r="Y5" s="140">
        <v>33</v>
      </c>
      <c r="Z5" s="140">
        <v>33</v>
      </c>
      <c r="AA5" s="140">
        <v>35</v>
      </c>
      <c r="AB5" s="140"/>
      <c r="AC5" s="140"/>
      <c r="AD5" s="140"/>
      <c r="AE5" s="140"/>
      <c r="AF5" s="140"/>
      <c r="AG5" s="140"/>
      <c r="AH5" s="140"/>
      <c r="AI5" s="140"/>
    </row>
    <row r="6" spans="2:35" x14ac:dyDescent="0.2">
      <c r="B6" s="53">
        <v>3</v>
      </c>
      <c r="C6" s="53" t="s">
        <v>207</v>
      </c>
      <c r="D6" s="91">
        <v>4.1666666666666664E-2</v>
      </c>
      <c r="E6" s="53" t="s">
        <v>207</v>
      </c>
      <c r="F6" s="91">
        <v>0.33680555555555558</v>
      </c>
      <c r="I6" s="44">
        <v>2</v>
      </c>
      <c r="J6" s="147" t="s">
        <v>268</v>
      </c>
      <c r="K6" s="146" t="s">
        <v>283</v>
      </c>
      <c r="L6" s="140"/>
      <c r="M6" s="140"/>
      <c r="N6" s="140"/>
      <c r="O6" s="140"/>
      <c r="P6" s="140"/>
      <c r="Q6" s="140"/>
      <c r="R6" s="140"/>
      <c r="S6" s="140"/>
      <c r="T6" s="140"/>
      <c r="U6" s="140">
        <v>20</v>
      </c>
      <c r="V6" s="140">
        <v>22</v>
      </c>
      <c r="W6" s="140">
        <v>23</v>
      </c>
      <c r="X6" s="140">
        <v>23</v>
      </c>
      <c r="Y6" s="140">
        <v>23</v>
      </c>
      <c r="Z6" s="140">
        <v>23</v>
      </c>
      <c r="AA6" s="140">
        <v>23</v>
      </c>
      <c r="AB6" s="140"/>
      <c r="AC6" s="140"/>
      <c r="AD6" s="140"/>
      <c r="AE6" s="140"/>
      <c r="AF6" s="140"/>
      <c r="AG6" s="140"/>
      <c r="AH6" s="140"/>
      <c r="AI6" s="140"/>
    </row>
    <row r="7" spans="2:35" x14ac:dyDescent="0.2">
      <c r="B7" s="53">
        <v>4</v>
      </c>
      <c r="C7" s="53" t="s">
        <v>208</v>
      </c>
      <c r="D7" s="91">
        <v>0.97916666666666663</v>
      </c>
      <c r="E7" s="53" t="s">
        <v>207</v>
      </c>
      <c r="F7" s="91">
        <v>0.33333333333333331</v>
      </c>
      <c r="I7" s="44">
        <v>4</v>
      </c>
      <c r="J7" s="146" t="s">
        <v>261</v>
      </c>
      <c r="K7" s="146" t="s">
        <v>284</v>
      </c>
      <c r="L7" s="143"/>
      <c r="M7" s="143"/>
      <c r="N7" s="143"/>
      <c r="O7" s="143"/>
      <c r="P7" s="143"/>
      <c r="Q7" s="143">
        <v>7</v>
      </c>
      <c r="R7" s="140"/>
      <c r="S7" s="140"/>
      <c r="T7" s="140"/>
      <c r="U7" s="140">
        <v>66</v>
      </c>
      <c r="V7" s="140">
        <v>75</v>
      </c>
      <c r="W7" s="140">
        <v>87</v>
      </c>
      <c r="X7" s="140">
        <v>87</v>
      </c>
      <c r="Y7" s="140">
        <v>87</v>
      </c>
      <c r="Z7" s="140">
        <v>89</v>
      </c>
      <c r="AA7" s="140">
        <v>90</v>
      </c>
      <c r="AB7" s="140"/>
      <c r="AC7" s="140"/>
      <c r="AD7" s="140"/>
      <c r="AE7" s="140"/>
      <c r="AF7" s="140"/>
      <c r="AG7" s="140"/>
      <c r="AH7" s="140"/>
      <c r="AI7" s="140"/>
    </row>
    <row r="8" spans="2:35" x14ac:dyDescent="0.2">
      <c r="B8" s="53">
        <v>5</v>
      </c>
      <c r="C8" s="53" t="s">
        <v>208</v>
      </c>
      <c r="D8" s="91">
        <v>0.95833333333333337</v>
      </c>
      <c r="E8" s="53" t="s">
        <v>207</v>
      </c>
      <c r="F8" s="91">
        <v>0.25</v>
      </c>
      <c r="I8" s="44">
        <v>5</v>
      </c>
      <c r="J8" s="146" t="s">
        <v>247</v>
      </c>
      <c r="K8" s="146" t="s">
        <v>285</v>
      </c>
      <c r="L8" s="143">
        <v>41</v>
      </c>
      <c r="M8" s="143">
        <v>41</v>
      </c>
      <c r="N8" s="143">
        <v>59</v>
      </c>
      <c r="O8" s="143">
        <v>59</v>
      </c>
      <c r="P8" s="143">
        <v>63</v>
      </c>
      <c r="Q8" s="143">
        <v>25</v>
      </c>
      <c r="R8" s="140"/>
      <c r="S8" s="140"/>
      <c r="T8" s="140"/>
      <c r="U8" s="140">
        <v>23</v>
      </c>
      <c r="V8" s="140">
        <v>23</v>
      </c>
      <c r="W8" s="140">
        <v>30</v>
      </c>
      <c r="X8" s="140">
        <v>31</v>
      </c>
      <c r="Y8" s="140">
        <v>31</v>
      </c>
      <c r="Z8" s="140">
        <v>32</v>
      </c>
      <c r="AA8" s="140">
        <v>34</v>
      </c>
      <c r="AB8" s="140"/>
      <c r="AC8" s="140"/>
      <c r="AD8" s="140"/>
      <c r="AE8" s="140"/>
      <c r="AF8" s="140"/>
      <c r="AG8" s="140"/>
      <c r="AH8" s="140"/>
      <c r="AI8" s="140"/>
    </row>
    <row r="9" spans="2:35" x14ac:dyDescent="0.2">
      <c r="B9" s="53">
        <v>6</v>
      </c>
      <c r="C9" s="53" t="s">
        <v>207</v>
      </c>
      <c r="D9" s="91">
        <v>0.67361111111111116</v>
      </c>
      <c r="E9" s="53" t="s">
        <v>238</v>
      </c>
      <c r="F9" s="91">
        <v>0.3972222222222222</v>
      </c>
      <c r="I9" s="44">
        <v>6</v>
      </c>
      <c r="J9" s="146" t="s">
        <v>254</v>
      </c>
      <c r="K9" s="146" t="s">
        <v>286</v>
      </c>
      <c r="L9" s="143">
        <v>28</v>
      </c>
      <c r="M9" s="143">
        <v>48</v>
      </c>
      <c r="N9" s="143">
        <v>50</v>
      </c>
      <c r="O9" s="143">
        <v>50</v>
      </c>
      <c r="P9" s="143">
        <v>63</v>
      </c>
      <c r="Q9" s="143">
        <v>19</v>
      </c>
      <c r="R9" s="140"/>
      <c r="S9" s="140"/>
      <c r="T9" s="140"/>
      <c r="U9" s="140">
        <v>28</v>
      </c>
      <c r="V9" s="140">
        <v>31</v>
      </c>
      <c r="W9" s="140">
        <v>40</v>
      </c>
      <c r="X9" s="140">
        <v>43</v>
      </c>
      <c r="Y9" s="140">
        <v>43</v>
      </c>
      <c r="Z9" s="140">
        <v>51</v>
      </c>
      <c r="AA9" s="140">
        <v>75</v>
      </c>
      <c r="AB9" s="140"/>
      <c r="AC9" s="140"/>
      <c r="AD9" s="140"/>
      <c r="AE9" s="140"/>
      <c r="AF9" s="140"/>
      <c r="AG9" s="140"/>
      <c r="AH9" s="140"/>
      <c r="AI9" s="140"/>
    </row>
    <row r="10" spans="2:35" x14ac:dyDescent="0.2">
      <c r="B10" s="53">
        <v>7</v>
      </c>
      <c r="C10" s="53" t="s">
        <v>207</v>
      </c>
      <c r="D10" s="91">
        <v>0.7104166666666667</v>
      </c>
      <c r="E10" s="53" t="s">
        <v>238</v>
      </c>
      <c r="F10" s="91">
        <v>0.96875</v>
      </c>
      <c r="I10" s="44">
        <v>7</v>
      </c>
      <c r="J10" s="146" t="s">
        <v>240</v>
      </c>
      <c r="K10" s="146" t="s">
        <v>287</v>
      </c>
      <c r="L10" s="143">
        <v>329</v>
      </c>
      <c r="M10" s="143">
        <v>336</v>
      </c>
      <c r="N10" s="143">
        <v>340</v>
      </c>
      <c r="O10" s="143">
        <v>340</v>
      </c>
      <c r="P10" s="143">
        <v>335</v>
      </c>
      <c r="Q10" s="143">
        <v>390</v>
      </c>
      <c r="R10" s="140">
        <v>390</v>
      </c>
      <c r="S10" s="140">
        <v>390</v>
      </c>
      <c r="T10" s="140">
        <v>390</v>
      </c>
      <c r="U10" s="140">
        <v>396</v>
      </c>
      <c r="V10" s="140">
        <v>397</v>
      </c>
      <c r="W10" s="140">
        <v>403</v>
      </c>
      <c r="X10" s="140">
        <v>403</v>
      </c>
      <c r="Y10" s="140">
        <v>403</v>
      </c>
      <c r="Z10" s="140">
        <v>404</v>
      </c>
      <c r="AA10" s="140">
        <v>408</v>
      </c>
      <c r="AB10" s="140"/>
      <c r="AC10" s="140"/>
      <c r="AD10" s="140"/>
      <c r="AE10" s="140"/>
      <c r="AF10" s="140"/>
      <c r="AG10" s="140"/>
      <c r="AH10" s="140"/>
      <c r="AI10" s="140"/>
    </row>
    <row r="11" spans="2:35" x14ac:dyDescent="0.2">
      <c r="B11" s="53">
        <v>8</v>
      </c>
      <c r="C11" s="53" t="s">
        <v>238</v>
      </c>
      <c r="D11" s="91">
        <v>6.25E-2</v>
      </c>
      <c r="E11" s="53" t="s">
        <v>266</v>
      </c>
      <c r="F11" s="91">
        <v>0.24305555555555555</v>
      </c>
      <c r="I11" s="44">
        <v>8</v>
      </c>
      <c r="J11" s="146" t="s">
        <v>253</v>
      </c>
      <c r="K11" s="146" t="s">
        <v>288</v>
      </c>
      <c r="L11" s="143">
        <v>56</v>
      </c>
      <c r="M11" s="143">
        <v>56</v>
      </c>
      <c r="N11" s="143">
        <v>62</v>
      </c>
      <c r="O11" s="143">
        <v>62</v>
      </c>
      <c r="P11" s="143">
        <v>54</v>
      </c>
      <c r="Q11" s="143">
        <v>54</v>
      </c>
      <c r="R11" s="140">
        <v>54</v>
      </c>
      <c r="S11" s="140">
        <v>54</v>
      </c>
      <c r="T11" s="140">
        <v>54</v>
      </c>
      <c r="U11" s="140">
        <v>64</v>
      </c>
      <c r="V11" s="140">
        <v>68</v>
      </c>
      <c r="W11" s="140">
        <v>82</v>
      </c>
      <c r="X11" s="140">
        <v>83</v>
      </c>
      <c r="Y11" s="140">
        <v>83</v>
      </c>
      <c r="Z11" s="140">
        <v>89</v>
      </c>
      <c r="AA11" s="140">
        <v>92</v>
      </c>
      <c r="AB11" s="140"/>
      <c r="AC11" s="140"/>
      <c r="AD11" s="140"/>
      <c r="AE11" s="140"/>
      <c r="AF11" s="140"/>
      <c r="AG11" s="140"/>
      <c r="AH11" s="140"/>
      <c r="AI11" s="140"/>
    </row>
    <row r="12" spans="2:35" x14ac:dyDescent="0.2">
      <c r="B12" s="53">
        <v>9</v>
      </c>
      <c r="C12" s="53" t="s">
        <v>238</v>
      </c>
      <c r="D12" s="91">
        <v>6.25E-2</v>
      </c>
      <c r="E12" s="53" t="s">
        <v>266</v>
      </c>
      <c r="F12" s="91">
        <v>0.40277777777777773</v>
      </c>
      <c r="I12" s="44">
        <v>9</v>
      </c>
      <c r="J12" s="146" t="s">
        <v>244</v>
      </c>
      <c r="K12" s="146" t="s">
        <v>289</v>
      </c>
      <c r="L12" s="143">
        <v>200</v>
      </c>
      <c r="M12" s="143">
        <v>200</v>
      </c>
      <c r="N12" s="143">
        <v>204</v>
      </c>
      <c r="O12" s="143">
        <v>204</v>
      </c>
      <c r="P12" s="143">
        <v>210</v>
      </c>
      <c r="Q12" s="143">
        <v>210</v>
      </c>
      <c r="R12" s="140">
        <v>213</v>
      </c>
      <c r="S12" s="140">
        <v>213</v>
      </c>
      <c r="T12" s="140">
        <v>213</v>
      </c>
      <c r="U12" s="140">
        <v>195</v>
      </c>
      <c r="V12" s="140">
        <v>195</v>
      </c>
      <c r="W12" s="140">
        <v>185</v>
      </c>
      <c r="X12" s="140">
        <v>186</v>
      </c>
      <c r="Y12" s="140">
        <v>186</v>
      </c>
      <c r="Z12" s="140">
        <v>186</v>
      </c>
      <c r="AA12" s="140">
        <v>183</v>
      </c>
      <c r="AB12" s="140"/>
      <c r="AC12" s="140"/>
      <c r="AD12" s="140"/>
      <c r="AE12" s="140"/>
      <c r="AF12" s="140"/>
      <c r="AG12" s="140"/>
      <c r="AH12" s="140"/>
      <c r="AI12" s="140"/>
    </row>
    <row r="13" spans="2:35" x14ac:dyDescent="0.2">
      <c r="B13" s="53">
        <v>10</v>
      </c>
      <c r="C13" s="53" t="s">
        <v>238</v>
      </c>
      <c r="D13" s="91">
        <v>0.27083333333333331</v>
      </c>
      <c r="E13" s="53" t="s">
        <v>266</v>
      </c>
      <c r="F13" s="91">
        <v>0.82638888888888884</v>
      </c>
      <c r="I13" s="44">
        <v>10</v>
      </c>
      <c r="J13" s="146" t="s">
        <v>243</v>
      </c>
      <c r="K13" s="146" t="s">
        <v>290</v>
      </c>
      <c r="L13" s="143">
        <v>151</v>
      </c>
      <c r="M13" s="143">
        <v>158</v>
      </c>
      <c r="N13" s="143">
        <v>162</v>
      </c>
      <c r="O13" s="143">
        <v>162</v>
      </c>
      <c r="P13" s="143">
        <v>165</v>
      </c>
      <c r="Q13" s="143">
        <v>165</v>
      </c>
      <c r="R13" s="140">
        <v>165</v>
      </c>
      <c r="S13" s="140">
        <v>165</v>
      </c>
      <c r="T13" s="140">
        <v>165</v>
      </c>
      <c r="U13" s="140">
        <v>158</v>
      </c>
      <c r="V13" s="140">
        <v>158</v>
      </c>
      <c r="W13" s="140">
        <v>155</v>
      </c>
      <c r="X13" s="140">
        <v>155</v>
      </c>
      <c r="Y13" s="140">
        <v>155</v>
      </c>
      <c r="Z13" s="140">
        <v>156</v>
      </c>
      <c r="AA13" s="140">
        <v>150</v>
      </c>
      <c r="AB13" s="140"/>
      <c r="AC13" s="140"/>
      <c r="AD13" s="140"/>
      <c r="AE13" s="140"/>
      <c r="AF13" s="140"/>
      <c r="AG13" s="140"/>
      <c r="AH13" s="140"/>
      <c r="AI13" s="140"/>
    </row>
    <row r="14" spans="2:35" x14ac:dyDescent="0.2">
      <c r="B14" s="53">
        <v>11</v>
      </c>
      <c r="C14" s="53" t="s">
        <v>238</v>
      </c>
      <c r="D14" s="91">
        <v>0.51736111111111105</v>
      </c>
      <c r="E14" s="53" t="s">
        <v>60</v>
      </c>
      <c r="F14" s="91">
        <v>0.89583333333333337</v>
      </c>
      <c r="I14" s="44">
        <v>11</v>
      </c>
      <c r="J14" s="146" t="s">
        <v>242</v>
      </c>
      <c r="K14" s="146" t="s">
        <v>291</v>
      </c>
      <c r="L14" s="143">
        <v>213</v>
      </c>
      <c r="M14" s="143">
        <v>220</v>
      </c>
      <c r="N14" s="143">
        <v>222</v>
      </c>
      <c r="O14" s="143">
        <v>222</v>
      </c>
      <c r="P14" s="143">
        <v>225</v>
      </c>
      <c r="Q14" s="143">
        <v>227</v>
      </c>
      <c r="R14" s="140">
        <v>227</v>
      </c>
      <c r="S14" s="140">
        <v>227</v>
      </c>
      <c r="T14" s="140">
        <v>227</v>
      </c>
      <c r="U14" s="140">
        <v>224</v>
      </c>
      <c r="V14" s="140">
        <v>224</v>
      </c>
      <c r="W14" s="140">
        <v>224</v>
      </c>
      <c r="X14" s="140">
        <v>224</v>
      </c>
      <c r="Y14" s="140">
        <v>224</v>
      </c>
      <c r="Z14" s="140">
        <v>224</v>
      </c>
      <c r="AA14" s="140">
        <v>226</v>
      </c>
      <c r="AB14" s="140"/>
      <c r="AC14" s="140"/>
      <c r="AD14" s="140"/>
      <c r="AE14" s="140"/>
      <c r="AF14" s="140"/>
      <c r="AG14" s="140"/>
      <c r="AH14" s="140"/>
      <c r="AI14" s="140"/>
    </row>
    <row r="15" spans="2:35" x14ac:dyDescent="0.2">
      <c r="B15" s="53">
        <v>12</v>
      </c>
      <c r="C15" s="53" t="s">
        <v>238</v>
      </c>
      <c r="D15" s="91">
        <v>0.73611111111111116</v>
      </c>
      <c r="E15" s="53" t="s">
        <v>60</v>
      </c>
      <c r="F15" s="91">
        <v>0.89583333333333337</v>
      </c>
      <c r="I15" s="44">
        <v>12</v>
      </c>
      <c r="J15" s="146" t="s">
        <v>241</v>
      </c>
      <c r="K15" s="146" t="s">
        <v>292</v>
      </c>
      <c r="L15" s="143">
        <v>325</v>
      </c>
      <c r="M15" s="143">
        <v>333</v>
      </c>
      <c r="N15" s="143">
        <v>336</v>
      </c>
      <c r="O15" s="143">
        <v>336</v>
      </c>
      <c r="P15" s="143">
        <v>341</v>
      </c>
      <c r="Q15" s="143">
        <v>341</v>
      </c>
      <c r="R15" s="140">
        <v>344</v>
      </c>
      <c r="S15" s="140">
        <v>344</v>
      </c>
      <c r="T15" s="140">
        <v>344</v>
      </c>
      <c r="U15" s="140">
        <v>310</v>
      </c>
      <c r="V15" s="140">
        <v>313</v>
      </c>
      <c r="W15" s="140">
        <v>301</v>
      </c>
      <c r="X15" s="140">
        <v>301</v>
      </c>
      <c r="Y15" s="140">
        <v>301</v>
      </c>
      <c r="Z15" s="140">
        <v>302</v>
      </c>
      <c r="AA15" s="140">
        <v>293</v>
      </c>
      <c r="AB15" s="140"/>
      <c r="AC15" s="140"/>
      <c r="AD15" s="140"/>
      <c r="AE15" s="140"/>
      <c r="AF15" s="140"/>
      <c r="AG15" s="140"/>
      <c r="AH15" s="140"/>
      <c r="AI15" s="140"/>
    </row>
    <row r="16" spans="2:35" x14ac:dyDescent="0.2">
      <c r="B16" s="53">
        <v>13</v>
      </c>
      <c r="C16" s="53" t="s">
        <v>238</v>
      </c>
      <c r="D16" s="91">
        <v>0.82638888888888884</v>
      </c>
      <c r="E16" s="53" t="s">
        <v>267</v>
      </c>
      <c r="F16" s="91">
        <v>0.57638888888888895</v>
      </c>
      <c r="I16" s="44">
        <v>13</v>
      </c>
      <c r="J16" s="148" t="s">
        <v>259</v>
      </c>
      <c r="K16" s="148" t="s">
        <v>293</v>
      </c>
      <c r="L16" s="143">
        <v>28</v>
      </c>
      <c r="M16" s="143">
        <v>55</v>
      </c>
      <c r="N16" s="143">
        <v>64</v>
      </c>
      <c r="O16" s="143">
        <v>64</v>
      </c>
      <c r="P16" s="143">
        <v>100</v>
      </c>
      <c r="Q16" s="143">
        <v>107</v>
      </c>
      <c r="R16" s="140">
        <v>110</v>
      </c>
      <c r="S16" s="140">
        <v>110</v>
      </c>
      <c r="T16" s="140">
        <v>110</v>
      </c>
      <c r="U16" s="140">
        <v>124</v>
      </c>
      <c r="V16" s="140">
        <v>127</v>
      </c>
      <c r="W16" s="140">
        <v>129</v>
      </c>
      <c r="X16" s="140">
        <v>129</v>
      </c>
      <c r="Y16" s="140">
        <v>129</v>
      </c>
      <c r="Z16" s="140">
        <v>132</v>
      </c>
      <c r="AA16" s="140">
        <v>137</v>
      </c>
      <c r="AB16" s="140"/>
      <c r="AC16" s="140"/>
      <c r="AD16" s="140"/>
      <c r="AE16" s="140"/>
      <c r="AF16" s="140"/>
      <c r="AG16" s="140"/>
      <c r="AH16" s="140"/>
      <c r="AI16" s="140"/>
    </row>
    <row r="17" spans="2:35" x14ac:dyDescent="0.2">
      <c r="B17" s="53">
        <v>14</v>
      </c>
      <c r="C17" s="53" t="s">
        <v>238</v>
      </c>
      <c r="D17" s="92">
        <v>0.82638888888888884</v>
      </c>
      <c r="E17" s="53" t="s">
        <v>267</v>
      </c>
      <c r="F17" s="91">
        <v>0.60416666666666663</v>
      </c>
      <c r="I17" s="44">
        <v>14</v>
      </c>
      <c r="J17" s="148" t="s">
        <v>245</v>
      </c>
      <c r="K17" s="148" t="s">
        <v>294</v>
      </c>
      <c r="L17" s="143">
        <v>24</v>
      </c>
      <c r="M17" s="143">
        <v>80</v>
      </c>
      <c r="N17" s="143">
        <v>85</v>
      </c>
      <c r="O17" s="143">
        <v>85</v>
      </c>
      <c r="P17" s="143">
        <v>95</v>
      </c>
      <c r="Q17" s="143">
        <v>99</v>
      </c>
      <c r="R17" s="140">
        <v>99</v>
      </c>
      <c r="S17" s="140">
        <v>99</v>
      </c>
      <c r="T17" s="140">
        <v>99</v>
      </c>
      <c r="U17" s="140">
        <v>109</v>
      </c>
      <c r="V17" s="140">
        <v>111</v>
      </c>
      <c r="W17" s="140">
        <v>118</v>
      </c>
      <c r="X17" s="140">
        <v>119</v>
      </c>
      <c r="Y17" s="140">
        <v>119</v>
      </c>
      <c r="Z17" s="140">
        <v>119</v>
      </c>
      <c r="AA17" s="140">
        <v>122</v>
      </c>
      <c r="AB17" s="140"/>
      <c r="AC17" s="140"/>
      <c r="AD17" s="140"/>
      <c r="AE17" s="140"/>
      <c r="AF17" s="140"/>
      <c r="AG17" s="140"/>
      <c r="AH17" s="140"/>
      <c r="AI17" s="140"/>
    </row>
    <row r="18" spans="2:35" x14ac:dyDescent="0.2">
      <c r="B18" s="53">
        <v>15</v>
      </c>
      <c r="C18" s="53" t="s">
        <v>266</v>
      </c>
      <c r="D18" s="92">
        <v>0.69444444444444453</v>
      </c>
      <c r="E18" s="53"/>
      <c r="F18" s="53"/>
      <c r="I18" s="44">
        <v>15</v>
      </c>
      <c r="J18" s="148" t="s">
        <v>239</v>
      </c>
      <c r="K18" s="148" t="s">
        <v>295</v>
      </c>
      <c r="L18" s="143"/>
      <c r="M18" s="143">
        <v>100</v>
      </c>
      <c r="N18" s="143">
        <v>57</v>
      </c>
      <c r="O18" s="143">
        <v>63</v>
      </c>
      <c r="P18" s="143">
        <v>100</v>
      </c>
      <c r="Q18" s="143">
        <v>118</v>
      </c>
      <c r="R18" s="140">
        <v>123</v>
      </c>
      <c r="S18" s="140">
        <v>123</v>
      </c>
      <c r="T18" s="140">
        <v>123</v>
      </c>
      <c r="U18" s="140">
        <v>161</v>
      </c>
      <c r="V18" s="140">
        <v>165</v>
      </c>
      <c r="W18" s="140">
        <v>172</v>
      </c>
      <c r="X18" s="140">
        <v>173</v>
      </c>
      <c r="Y18" s="140">
        <v>173</v>
      </c>
      <c r="Z18" s="140">
        <v>178</v>
      </c>
      <c r="AA18" s="140">
        <v>184</v>
      </c>
      <c r="AB18" s="140"/>
      <c r="AC18" s="140"/>
      <c r="AD18" s="140"/>
      <c r="AE18" s="140"/>
      <c r="AF18" s="140"/>
      <c r="AG18" s="140"/>
      <c r="AH18" s="140"/>
      <c r="AI18" s="140"/>
    </row>
    <row r="19" spans="2:35" x14ac:dyDescent="0.2">
      <c r="B19" s="53">
        <v>16</v>
      </c>
      <c r="C19" s="53" t="s">
        <v>266</v>
      </c>
      <c r="D19" s="91">
        <v>0.69444444444444453</v>
      </c>
      <c r="E19" s="53"/>
      <c r="F19" s="53"/>
      <c r="I19" s="44">
        <v>16</v>
      </c>
      <c r="J19" s="148" t="s">
        <v>251</v>
      </c>
      <c r="K19" s="148" t="s">
        <v>296</v>
      </c>
      <c r="L19" s="143">
        <v>46</v>
      </c>
      <c r="M19" s="143">
        <v>46</v>
      </c>
      <c r="N19" s="143">
        <v>78</v>
      </c>
      <c r="O19" s="143">
        <v>78</v>
      </c>
      <c r="P19" s="143">
        <v>116</v>
      </c>
      <c r="Q19" s="143">
        <v>119</v>
      </c>
      <c r="R19" s="140">
        <v>123</v>
      </c>
      <c r="S19" s="140">
        <v>123</v>
      </c>
      <c r="T19" s="140">
        <v>123</v>
      </c>
      <c r="U19" s="140">
        <v>140</v>
      </c>
      <c r="V19" s="140">
        <v>144</v>
      </c>
      <c r="W19" s="140">
        <v>148</v>
      </c>
      <c r="X19" s="140">
        <v>150</v>
      </c>
      <c r="Y19" s="140">
        <v>150</v>
      </c>
      <c r="Z19" s="140">
        <v>151</v>
      </c>
      <c r="AA19" s="140">
        <v>156</v>
      </c>
      <c r="AB19" s="140"/>
      <c r="AC19" s="140"/>
      <c r="AD19" s="140"/>
      <c r="AE19" s="140"/>
      <c r="AF19" s="140"/>
      <c r="AG19" s="140"/>
      <c r="AH19" s="140"/>
      <c r="AI19" s="140"/>
    </row>
    <row r="20" spans="2:35" x14ac:dyDescent="0.2">
      <c r="B20" s="53">
        <v>17</v>
      </c>
      <c r="C20" s="53"/>
      <c r="D20" s="53"/>
      <c r="E20" s="53"/>
      <c r="F20" s="53"/>
      <c r="I20" s="44">
        <v>17</v>
      </c>
      <c r="J20" s="148" t="s">
        <v>249</v>
      </c>
      <c r="K20" s="148" t="s">
        <v>297</v>
      </c>
      <c r="L20" s="143">
        <v>59</v>
      </c>
      <c r="M20" s="143">
        <v>65</v>
      </c>
      <c r="N20" s="143">
        <v>79</v>
      </c>
      <c r="O20" s="143">
        <v>79</v>
      </c>
      <c r="P20" s="143">
        <v>66</v>
      </c>
      <c r="Q20" s="143">
        <v>66</v>
      </c>
      <c r="R20" s="140">
        <v>68</v>
      </c>
      <c r="S20" s="140">
        <v>68</v>
      </c>
      <c r="T20" s="140">
        <v>68</v>
      </c>
      <c r="U20" s="140">
        <v>88</v>
      </c>
      <c r="V20" s="140">
        <v>92</v>
      </c>
      <c r="W20" s="140">
        <v>101</v>
      </c>
      <c r="X20" s="140">
        <v>101</v>
      </c>
      <c r="Y20" s="140">
        <v>101</v>
      </c>
      <c r="Z20" s="140">
        <v>104</v>
      </c>
      <c r="AA20" s="140">
        <v>111</v>
      </c>
      <c r="AB20" s="140"/>
      <c r="AC20" s="140"/>
      <c r="AD20" s="140"/>
      <c r="AE20" s="140"/>
      <c r="AF20" s="140"/>
      <c r="AG20" s="140"/>
      <c r="AH20" s="140"/>
      <c r="AI20" s="140"/>
    </row>
    <row r="21" spans="2:35" x14ac:dyDescent="0.2">
      <c r="B21" s="53">
        <v>18</v>
      </c>
      <c r="C21" s="53"/>
      <c r="D21" s="53"/>
      <c r="E21" s="53"/>
      <c r="F21" s="53"/>
      <c r="I21" s="44">
        <v>18</v>
      </c>
      <c r="J21" s="148" t="s">
        <v>298</v>
      </c>
      <c r="K21" s="148" t="s">
        <v>299</v>
      </c>
      <c r="L21" s="143">
        <v>238</v>
      </c>
      <c r="M21" s="143">
        <v>261</v>
      </c>
      <c r="N21" s="143">
        <v>269</v>
      </c>
      <c r="O21" s="143">
        <v>319</v>
      </c>
      <c r="P21" s="143">
        <v>319</v>
      </c>
      <c r="Q21" s="143">
        <v>325</v>
      </c>
      <c r="R21" s="140">
        <v>330</v>
      </c>
      <c r="S21" s="140">
        <v>330</v>
      </c>
      <c r="T21" s="140">
        <v>330</v>
      </c>
      <c r="U21" s="140">
        <v>348</v>
      </c>
      <c r="V21" s="140">
        <v>351</v>
      </c>
      <c r="W21" s="140">
        <v>358</v>
      </c>
      <c r="X21" s="140">
        <v>358</v>
      </c>
      <c r="Y21" s="140">
        <v>358</v>
      </c>
      <c r="Z21" s="140">
        <v>360</v>
      </c>
      <c r="AA21" s="140">
        <v>362</v>
      </c>
      <c r="AB21" s="140"/>
      <c r="AC21" s="140"/>
      <c r="AD21" s="140"/>
      <c r="AE21" s="140"/>
      <c r="AF21" s="140"/>
      <c r="AG21" s="140"/>
      <c r="AH21" s="140"/>
      <c r="AI21" s="140"/>
    </row>
    <row r="22" spans="2:35" x14ac:dyDescent="0.2">
      <c r="B22" s="53">
        <v>19</v>
      </c>
      <c r="C22" s="53"/>
      <c r="D22" s="53"/>
      <c r="E22" s="53"/>
      <c r="F22" s="53"/>
      <c r="I22" s="44">
        <v>19</v>
      </c>
      <c r="J22" s="146" t="s">
        <v>257</v>
      </c>
      <c r="K22" s="146" t="s">
        <v>300</v>
      </c>
      <c r="L22" s="143">
        <v>35</v>
      </c>
      <c r="M22" s="143">
        <v>39</v>
      </c>
      <c r="N22" s="143">
        <v>42</v>
      </c>
      <c r="O22" s="143">
        <v>42</v>
      </c>
      <c r="P22" s="143">
        <v>59</v>
      </c>
      <c r="Q22" s="143">
        <v>62</v>
      </c>
      <c r="R22" s="140">
        <v>65</v>
      </c>
      <c r="S22" s="140">
        <v>65</v>
      </c>
      <c r="T22" s="140">
        <v>65</v>
      </c>
      <c r="U22" s="140">
        <v>85</v>
      </c>
      <c r="V22" s="140">
        <v>86</v>
      </c>
      <c r="W22" s="140">
        <v>102</v>
      </c>
      <c r="X22" s="140">
        <v>104</v>
      </c>
      <c r="Y22" s="140">
        <v>104</v>
      </c>
      <c r="Z22" s="140">
        <v>107</v>
      </c>
      <c r="AA22" s="140">
        <v>117</v>
      </c>
      <c r="AB22" s="140"/>
      <c r="AC22" s="140"/>
      <c r="AD22" s="140"/>
      <c r="AE22" s="140"/>
      <c r="AF22" s="140"/>
      <c r="AG22" s="140"/>
      <c r="AH22" s="140"/>
      <c r="AI22" s="140"/>
    </row>
    <row r="23" spans="2:35" x14ac:dyDescent="0.2">
      <c r="B23" s="53">
        <v>20</v>
      </c>
      <c r="C23" s="53"/>
      <c r="D23" s="53"/>
      <c r="E23" s="53"/>
      <c r="F23" s="53"/>
      <c r="I23" s="44">
        <v>20</v>
      </c>
      <c r="J23" s="148" t="s">
        <v>252</v>
      </c>
      <c r="K23" s="148" t="s">
        <v>301</v>
      </c>
      <c r="L23" s="143">
        <v>34</v>
      </c>
      <c r="M23" s="143">
        <v>39</v>
      </c>
      <c r="N23" s="143">
        <v>42</v>
      </c>
      <c r="O23" s="143">
        <v>42</v>
      </c>
      <c r="P23" s="143">
        <v>45</v>
      </c>
      <c r="Q23" s="143">
        <v>45</v>
      </c>
      <c r="R23" s="140">
        <v>47</v>
      </c>
      <c r="S23" s="140">
        <v>47</v>
      </c>
      <c r="T23" s="140">
        <v>47</v>
      </c>
      <c r="U23" s="140">
        <v>52</v>
      </c>
      <c r="V23" s="140">
        <v>53</v>
      </c>
      <c r="W23" s="140">
        <v>55</v>
      </c>
      <c r="X23" s="140">
        <v>55</v>
      </c>
      <c r="Y23" s="140">
        <v>55</v>
      </c>
      <c r="Z23" s="140">
        <v>56</v>
      </c>
      <c r="AA23" s="140">
        <v>56</v>
      </c>
      <c r="AB23" s="140"/>
      <c r="AC23" s="140"/>
      <c r="AD23" s="140"/>
      <c r="AE23" s="140"/>
      <c r="AF23" s="140"/>
      <c r="AG23" s="140"/>
      <c r="AH23" s="140"/>
      <c r="AI23" s="140"/>
    </row>
    <row r="24" spans="2:35" x14ac:dyDescent="0.2">
      <c r="B24" s="53">
        <v>21</v>
      </c>
      <c r="C24" s="53"/>
      <c r="D24" s="53"/>
      <c r="E24" s="53"/>
      <c r="F24" s="53"/>
      <c r="I24" s="44">
        <v>21</v>
      </c>
      <c r="J24" s="146" t="s">
        <v>250</v>
      </c>
      <c r="K24" s="146" t="s">
        <v>302</v>
      </c>
      <c r="L24" s="143">
        <v>43</v>
      </c>
      <c r="M24" s="143">
        <v>43</v>
      </c>
      <c r="N24" s="143">
        <v>74</v>
      </c>
      <c r="O24" s="143">
        <v>74</v>
      </c>
      <c r="P24" s="143">
        <v>81</v>
      </c>
      <c r="Q24" s="143">
        <v>81</v>
      </c>
      <c r="R24" s="140">
        <v>81</v>
      </c>
      <c r="S24" s="140">
        <v>81</v>
      </c>
      <c r="T24" s="140">
        <v>81</v>
      </c>
      <c r="U24" s="140">
        <v>82</v>
      </c>
      <c r="V24" s="140">
        <v>84</v>
      </c>
      <c r="W24" s="140">
        <v>88</v>
      </c>
      <c r="X24" s="140">
        <v>88</v>
      </c>
      <c r="Y24" s="140">
        <v>88</v>
      </c>
      <c r="Z24" s="140">
        <v>88</v>
      </c>
      <c r="AA24" s="140">
        <v>88</v>
      </c>
      <c r="AB24" s="140"/>
      <c r="AC24" s="140"/>
      <c r="AD24" s="140"/>
      <c r="AE24" s="140"/>
      <c r="AF24" s="140"/>
      <c r="AG24" s="140"/>
      <c r="AH24" s="140"/>
      <c r="AI24" s="140"/>
    </row>
    <row r="25" spans="2:35" x14ac:dyDescent="0.2">
      <c r="B25" s="53">
        <v>22</v>
      </c>
      <c r="C25" s="53"/>
      <c r="D25" s="53"/>
      <c r="E25" s="53"/>
      <c r="F25" s="53"/>
      <c r="I25" s="44">
        <v>22</v>
      </c>
      <c r="J25" s="148" t="s">
        <v>256</v>
      </c>
      <c r="K25" s="148" t="s">
        <v>303</v>
      </c>
      <c r="L25" s="143">
        <v>58</v>
      </c>
      <c r="M25" s="143">
        <v>62</v>
      </c>
      <c r="N25" s="143">
        <v>67</v>
      </c>
      <c r="O25" s="143">
        <v>67</v>
      </c>
      <c r="P25" s="143">
        <v>69</v>
      </c>
      <c r="Q25" s="143">
        <v>69</v>
      </c>
      <c r="R25" s="140">
        <v>71</v>
      </c>
      <c r="S25" s="140">
        <v>71</v>
      </c>
      <c r="T25" s="140">
        <v>71</v>
      </c>
      <c r="U25" s="140">
        <v>77</v>
      </c>
      <c r="V25" s="140">
        <v>78</v>
      </c>
      <c r="W25" s="140">
        <v>81</v>
      </c>
      <c r="X25" s="140">
        <v>83</v>
      </c>
      <c r="Y25" s="140">
        <v>83</v>
      </c>
      <c r="Z25" s="140">
        <v>84</v>
      </c>
      <c r="AA25" s="140">
        <v>84</v>
      </c>
      <c r="AB25" s="140"/>
      <c r="AC25" s="140"/>
      <c r="AD25" s="140"/>
      <c r="AE25" s="140"/>
      <c r="AF25" s="140"/>
      <c r="AG25" s="140"/>
      <c r="AH25" s="140"/>
      <c r="AI25" s="140"/>
    </row>
    <row r="26" spans="2:35" x14ac:dyDescent="0.2">
      <c r="B26" s="53">
        <v>23</v>
      </c>
      <c r="C26" s="53"/>
      <c r="D26" s="53"/>
      <c r="E26" s="53"/>
      <c r="F26" s="53"/>
      <c r="I26" s="44">
        <v>23</v>
      </c>
      <c r="J26" s="146" t="s">
        <v>269</v>
      </c>
      <c r="K26" s="146" t="s">
        <v>304</v>
      </c>
      <c r="L26" s="143">
        <v>89</v>
      </c>
      <c r="M26" s="143">
        <v>89</v>
      </c>
      <c r="N26" s="143">
        <v>89</v>
      </c>
      <c r="O26" s="143">
        <v>89</v>
      </c>
      <c r="P26" s="143">
        <v>89</v>
      </c>
      <c r="Q26" s="143">
        <v>89</v>
      </c>
      <c r="R26" s="140">
        <v>89</v>
      </c>
      <c r="S26" s="140">
        <v>89</v>
      </c>
      <c r="T26" s="140">
        <v>89</v>
      </c>
      <c r="U26" s="140">
        <v>98</v>
      </c>
      <c r="V26" s="140">
        <v>98</v>
      </c>
      <c r="W26" s="140">
        <v>104</v>
      </c>
      <c r="X26" s="140">
        <v>106</v>
      </c>
      <c r="Y26" s="140">
        <v>106</v>
      </c>
      <c r="Z26" s="140">
        <v>107</v>
      </c>
      <c r="AA26" s="140">
        <v>108</v>
      </c>
      <c r="AB26" s="140"/>
      <c r="AC26" s="140"/>
      <c r="AD26" s="140"/>
      <c r="AE26" s="140"/>
      <c r="AF26" s="140"/>
      <c r="AG26" s="140"/>
      <c r="AH26" s="140"/>
      <c r="AI26" s="140"/>
    </row>
    <row r="27" spans="2:35" x14ac:dyDescent="0.2">
      <c r="B27" s="53">
        <v>24</v>
      </c>
      <c r="C27" s="53"/>
      <c r="D27" s="53"/>
      <c r="E27" s="53"/>
      <c r="F27" s="53"/>
      <c r="I27" s="44">
        <v>24</v>
      </c>
      <c r="J27" s="148" t="s">
        <v>258</v>
      </c>
      <c r="K27" s="148" t="s">
        <v>305</v>
      </c>
      <c r="L27" s="143">
        <v>55</v>
      </c>
      <c r="M27" s="143">
        <v>58</v>
      </c>
      <c r="N27" s="143">
        <v>65</v>
      </c>
      <c r="O27" s="143">
        <v>65</v>
      </c>
      <c r="P27" s="143">
        <v>69</v>
      </c>
      <c r="Q27" s="143">
        <v>69</v>
      </c>
      <c r="R27" s="140">
        <v>69</v>
      </c>
      <c r="S27" s="140">
        <v>69</v>
      </c>
      <c r="T27" s="140">
        <v>69</v>
      </c>
      <c r="U27" s="140">
        <v>71</v>
      </c>
      <c r="V27" s="140">
        <v>72</v>
      </c>
      <c r="W27" s="140">
        <v>73</v>
      </c>
      <c r="X27" s="140">
        <v>73</v>
      </c>
      <c r="Y27" s="140">
        <v>73</v>
      </c>
      <c r="Z27" s="140">
        <v>73</v>
      </c>
      <c r="AA27" s="140">
        <v>75</v>
      </c>
      <c r="AB27" s="140"/>
      <c r="AC27" s="140"/>
      <c r="AD27" s="140"/>
      <c r="AE27" s="140"/>
      <c r="AF27" s="140"/>
      <c r="AG27" s="140"/>
      <c r="AH27" s="140"/>
      <c r="AI27" s="140"/>
    </row>
    <row r="28" spans="2:35" x14ac:dyDescent="0.2">
      <c r="B28" s="53">
        <v>25</v>
      </c>
      <c r="C28" s="53"/>
      <c r="D28" s="53"/>
      <c r="E28" s="53"/>
      <c r="F28" s="53"/>
      <c r="I28" s="44"/>
      <c r="J28" s="143"/>
      <c r="K28" s="143"/>
      <c r="L28" s="143"/>
      <c r="M28" s="143"/>
      <c r="N28" s="143"/>
      <c r="O28" s="143"/>
      <c r="P28" s="143"/>
      <c r="Q28" s="143"/>
      <c r="R28" s="140"/>
      <c r="S28" s="140"/>
      <c r="T28" s="140"/>
      <c r="U28" s="140"/>
      <c r="V28" s="140"/>
      <c r="W28" s="140"/>
      <c r="X28" s="140"/>
      <c r="Y28" s="140"/>
      <c r="Z28" s="140"/>
      <c r="AA28" s="140"/>
      <c r="AB28" s="140"/>
      <c r="AC28" s="140"/>
      <c r="AD28" s="140"/>
      <c r="AE28" s="140"/>
      <c r="AF28" s="140"/>
      <c r="AG28" s="140"/>
      <c r="AH28" s="140"/>
      <c r="AI28" s="140"/>
    </row>
    <row r="29" spans="2:35" x14ac:dyDescent="0.2">
      <c r="I29" s="44">
        <v>25</v>
      </c>
      <c r="J29" s="149" t="s">
        <v>255</v>
      </c>
      <c r="K29" s="149" t="s">
        <v>306</v>
      </c>
      <c r="L29" s="143">
        <v>30</v>
      </c>
      <c r="M29" s="143">
        <v>37</v>
      </c>
      <c r="N29" s="143">
        <v>56</v>
      </c>
      <c r="O29" s="143">
        <v>56</v>
      </c>
      <c r="P29" s="143">
        <v>56</v>
      </c>
      <c r="Q29" s="143"/>
      <c r="R29" s="140"/>
      <c r="S29" s="140"/>
      <c r="T29" s="140"/>
      <c r="U29" s="140"/>
      <c r="V29" s="140"/>
      <c r="W29" s="140"/>
      <c r="X29" s="140"/>
      <c r="Y29" s="140"/>
      <c r="Z29" s="140"/>
      <c r="AA29" s="140"/>
      <c r="AB29" s="140"/>
      <c r="AC29" s="140"/>
      <c r="AD29" s="140"/>
      <c r="AE29" s="140"/>
      <c r="AF29" s="140"/>
      <c r="AG29" s="140"/>
      <c r="AH29" s="140"/>
      <c r="AI29" s="140"/>
    </row>
    <row r="30" spans="2:35" x14ac:dyDescent="0.2">
      <c r="I30" s="44">
        <v>26</v>
      </c>
      <c r="J30" s="149" t="s">
        <v>248</v>
      </c>
      <c r="K30" s="149" t="s">
        <v>307</v>
      </c>
      <c r="L30" s="143">
        <v>58</v>
      </c>
      <c r="M30" s="143">
        <v>59</v>
      </c>
      <c r="N30" s="143">
        <v>100</v>
      </c>
      <c r="O30" s="143">
        <v>100</v>
      </c>
      <c r="P30" s="143">
        <v>105</v>
      </c>
      <c r="Q30" s="143">
        <v>106</v>
      </c>
      <c r="R30" s="140">
        <v>148</v>
      </c>
      <c r="S30" s="140">
        <v>148</v>
      </c>
      <c r="T30" s="140">
        <v>148</v>
      </c>
      <c r="U30" s="140">
        <v>152</v>
      </c>
      <c r="V30" s="140">
        <v>152</v>
      </c>
      <c r="W30" s="140"/>
      <c r="X30" s="140"/>
      <c r="Y30" s="140"/>
      <c r="Z30" s="140"/>
      <c r="AA30" s="140"/>
      <c r="AB30" s="140"/>
      <c r="AC30" s="140"/>
      <c r="AD30" s="140"/>
      <c r="AE30" s="140"/>
      <c r="AF30" s="140"/>
      <c r="AG30" s="140"/>
      <c r="AH30" s="140"/>
      <c r="AI30" s="140"/>
    </row>
    <row r="31" spans="2:35" x14ac:dyDescent="0.2">
      <c r="I31" s="44">
        <v>27</v>
      </c>
      <c r="J31" s="140"/>
      <c r="K31" s="140"/>
      <c r="L31" s="140"/>
      <c r="M31" s="140"/>
      <c r="N31" s="140"/>
      <c r="O31" s="140"/>
      <c r="P31" s="140"/>
      <c r="Q31" s="140"/>
      <c r="R31" s="140"/>
      <c r="S31" s="140"/>
      <c r="T31" s="140"/>
      <c r="U31" s="140"/>
      <c r="V31" s="140"/>
      <c r="W31" s="140"/>
      <c r="X31" s="140"/>
      <c r="Y31" s="140"/>
      <c r="Z31" s="140"/>
      <c r="AA31" s="140"/>
      <c r="AB31" s="140"/>
      <c r="AC31" s="140"/>
      <c r="AD31" s="140"/>
      <c r="AE31" s="140"/>
      <c r="AF31" s="140"/>
      <c r="AG31" s="140"/>
      <c r="AH31" s="140"/>
      <c r="AI31" s="140"/>
    </row>
    <row r="32" spans="2:35" x14ac:dyDescent="0.2">
      <c r="I32" s="90">
        <v>28</v>
      </c>
      <c r="J32" s="150"/>
      <c r="K32" s="134"/>
      <c r="L32" s="142" t="s">
        <v>277</v>
      </c>
      <c r="M32" s="143" t="s">
        <v>278</v>
      </c>
      <c r="N32" s="142" t="s">
        <v>279</v>
      </c>
      <c r="O32" s="144" t="s">
        <v>280</v>
      </c>
      <c r="P32" s="145" t="s">
        <v>277</v>
      </c>
      <c r="Q32" s="144" t="s">
        <v>278</v>
      </c>
      <c r="R32" s="145" t="s">
        <v>279</v>
      </c>
      <c r="S32" s="143" t="s">
        <v>280</v>
      </c>
      <c r="T32" s="142" t="s">
        <v>277</v>
      </c>
      <c r="U32" s="142" t="s">
        <v>281</v>
      </c>
      <c r="V32" s="140" t="s">
        <v>279</v>
      </c>
      <c r="W32" s="145" t="s">
        <v>277</v>
      </c>
      <c r="X32" s="144" t="s">
        <v>278</v>
      </c>
      <c r="Y32" s="145" t="s">
        <v>279</v>
      </c>
      <c r="Z32" s="143" t="s">
        <v>280</v>
      </c>
      <c r="AA32" s="142" t="s">
        <v>277</v>
      </c>
      <c r="AB32" s="142" t="s">
        <v>281</v>
      </c>
      <c r="AC32" s="134"/>
      <c r="AD32" s="134"/>
      <c r="AE32" s="134"/>
      <c r="AF32" s="134"/>
      <c r="AG32" s="134"/>
      <c r="AH32" s="134"/>
      <c r="AI32" s="134"/>
    </row>
    <row r="33" spans="9:35" x14ac:dyDescent="0.2">
      <c r="I33" s="134"/>
      <c r="J33" s="134"/>
      <c r="K33" s="150" t="s">
        <v>308</v>
      </c>
      <c r="L33" s="150">
        <f t="shared" ref="L33:AA33" si="0">SUM(L5:L31)</f>
        <v>2202</v>
      </c>
      <c r="M33" s="150">
        <f t="shared" si="0"/>
        <v>2516</v>
      </c>
      <c r="N33" s="150">
        <f t="shared" si="0"/>
        <v>2696</v>
      </c>
      <c r="O33" s="150">
        <f t="shared" si="0"/>
        <v>2752</v>
      </c>
      <c r="P33" s="150">
        <f t="shared" si="0"/>
        <v>2922</v>
      </c>
      <c r="Q33" s="151">
        <f t="shared" si="0"/>
        <v>2814</v>
      </c>
      <c r="R33" s="151">
        <f t="shared" si="0"/>
        <v>2816</v>
      </c>
      <c r="S33" s="151">
        <f t="shared" si="0"/>
        <v>2816</v>
      </c>
      <c r="T33" s="151">
        <f t="shared" si="0"/>
        <v>2816</v>
      </c>
      <c r="U33" s="150">
        <f t="shared" si="0"/>
        <v>3095</v>
      </c>
      <c r="V33" s="150">
        <f t="shared" si="0"/>
        <v>3143</v>
      </c>
      <c r="W33" s="150">
        <f t="shared" si="0"/>
        <v>3092</v>
      </c>
      <c r="X33" s="150">
        <f t="shared" si="0"/>
        <v>3108</v>
      </c>
      <c r="Y33" s="150">
        <f t="shared" si="0"/>
        <v>3108</v>
      </c>
      <c r="Z33" s="150">
        <f t="shared" si="0"/>
        <v>3148</v>
      </c>
      <c r="AA33" s="150">
        <f t="shared" si="0"/>
        <v>3209</v>
      </c>
      <c r="AB33" s="134"/>
      <c r="AC33" s="134"/>
      <c r="AD33" s="134"/>
      <c r="AE33" s="134"/>
      <c r="AF33" s="134"/>
      <c r="AG33" s="134"/>
      <c r="AH33" s="134"/>
      <c r="AI33" s="134"/>
    </row>
  </sheetData>
  <mergeCells count="2">
    <mergeCell ref="E2:F2"/>
    <mergeCell ref="C2:D2"/>
  </mergeCells>
  <phoneticPr fontId="2"/>
  <conditionalFormatting sqref="J2:J33">
    <cfRule type="expression" dxfId="51" priority="1">
      <formula>J2=I2</formula>
    </cfRule>
  </conditionalFormatting>
  <conditionalFormatting sqref="K2:K33">
    <cfRule type="expression" dxfId="49" priority="2">
      <formula>K2=J2</formula>
    </cfRule>
  </conditionalFormatting>
  <conditionalFormatting sqref="L2:L33">
    <cfRule type="expression" dxfId="47" priority="3">
      <formula>L2=K2</formula>
    </cfRule>
  </conditionalFormatting>
  <conditionalFormatting sqref="M2:M33">
    <cfRule type="expression" dxfId="45" priority="4">
      <formula>M2=L2</formula>
    </cfRule>
  </conditionalFormatting>
  <conditionalFormatting sqref="N2:N33">
    <cfRule type="expression" dxfId="43" priority="5">
      <formula>N2=M2</formula>
    </cfRule>
  </conditionalFormatting>
  <conditionalFormatting sqref="O2:O33">
    <cfRule type="expression" dxfId="41" priority="6">
      <formula>O2=N2</formula>
    </cfRule>
  </conditionalFormatting>
  <conditionalFormatting sqref="P2:P33">
    <cfRule type="expression" dxfId="39" priority="7">
      <formula>P2=O2</formula>
    </cfRule>
  </conditionalFormatting>
  <conditionalFormatting sqref="Q2:Q33">
    <cfRule type="expression" dxfId="37" priority="8">
      <formula>Q2=P2</formula>
    </cfRule>
  </conditionalFormatting>
  <conditionalFormatting sqref="R2:R33">
    <cfRule type="expression" dxfId="35" priority="9">
      <formula>R2=Q2</formula>
    </cfRule>
  </conditionalFormatting>
  <conditionalFormatting sqref="S2:S33">
    <cfRule type="expression" dxfId="33" priority="10">
      <formula>S2=R2</formula>
    </cfRule>
  </conditionalFormatting>
  <conditionalFormatting sqref="T2:T33">
    <cfRule type="expression" dxfId="31" priority="11">
      <formula>T2=S2</formula>
    </cfRule>
  </conditionalFormatting>
  <conditionalFormatting sqref="U2:U33">
    <cfRule type="expression" dxfId="29" priority="12">
      <formula>U2=T2</formula>
    </cfRule>
  </conditionalFormatting>
  <conditionalFormatting sqref="V2:V33">
    <cfRule type="expression" dxfId="27" priority="13">
      <formula>V2=U2</formula>
    </cfRule>
  </conditionalFormatting>
  <conditionalFormatting sqref="W2:W33">
    <cfRule type="expression" dxfId="25" priority="14">
      <formula>W2=V2</formula>
    </cfRule>
  </conditionalFormatting>
  <conditionalFormatting sqref="X2:X33">
    <cfRule type="expression" dxfId="23" priority="15">
      <formula>X2=W2</formula>
    </cfRule>
  </conditionalFormatting>
  <conditionalFormatting sqref="Y2:Y33">
    <cfRule type="expression" dxfId="21" priority="16">
      <formula>Y2=X2</formula>
    </cfRule>
  </conditionalFormatting>
  <conditionalFormatting sqref="Z2:Z33">
    <cfRule type="expression" dxfId="19" priority="17">
      <formula>Z2=Y2</formula>
    </cfRule>
  </conditionalFormatting>
  <conditionalFormatting sqref="AA2:AA33">
    <cfRule type="expression" dxfId="17" priority="18">
      <formula>AA2=Z2</formula>
    </cfRule>
  </conditionalFormatting>
  <conditionalFormatting sqref="AB2:AB33">
    <cfRule type="expression" dxfId="15" priority="19">
      <formula>AB2=AA2</formula>
    </cfRule>
  </conditionalFormatting>
  <conditionalFormatting sqref="AC2:AC33">
    <cfRule type="expression" dxfId="13" priority="20">
      <formula>AC2=AB2</formula>
    </cfRule>
  </conditionalFormatting>
  <conditionalFormatting sqref="AD2:AD33">
    <cfRule type="expression" dxfId="11" priority="21">
      <formula>AD2=AC2</formula>
    </cfRule>
  </conditionalFormatting>
  <conditionalFormatting sqref="AE2:AE33">
    <cfRule type="expression" dxfId="9" priority="22">
      <formula>AE2=AD2</formula>
    </cfRule>
  </conditionalFormatting>
  <conditionalFormatting sqref="AF2:AF33">
    <cfRule type="expression" dxfId="7" priority="23">
      <formula>AF2=AE2</formula>
    </cfRule>
  </conditionalFormatting>
  <conditionalFormatting sqref="AG2:AG33">
    <cfRule type="expression" dxfId="5" priority="24">
      <formula>AG2=AF2</formula>
    </cfRule>
  </conditionalFormatting>
  <conditionalFormatting sqref="AH2:AH33">
    <cfRule type="expression" dxfId="3" priority="25">
      <formula>AH2=AG2</formula>
    </cfRule>
  </conditionalFormatting>
  <conditionalFormatting sqref="AI2:AI33">
    <cfRule type="expression" dxfId="1" priority="26">
      <formula>AI2=AH2</formula>
    </cfRule>
  </conditionalFormatting>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43:C66"/>
  <sheetViews>
    <sheetView zoomScale="85" zoomScaleNormal="85" workbookViewId="0">
      <selection activeCell="L24" sqref="L24"/>
    </sheetView>
  </sheetViews>
  <sheetFormatPr defaultRowHeight="13" x14ac:dyDescent="0.2"/>
  <sheetData>
    <row r="43" spans="3:3" x14ac:dyDescent="0.2">
      <c r="C43" t="s">
        <v>214</v>
      </c>
    </row>
    <row r="44" spans="3:3" x14ac:dyDescent="0.2">
      <c r="C44" t="s">
        <v>215</v>
      </c>
    </row>
    <row r="45" spans="3:3" x14ac:dyDescent="0.2">
      <c r="C45" t="s">
        <v>216</v>
      </c>
    </row>
    <row r="46" spans="3:3" x14ac:dyDescent="0.2">
      <c r="C46" t="s">
        <v>217</v>
      </c>
    </row>
    <row r="47" spans="3:3" x14ac:dyDescent="0.2">
      <c r="C47" t="s">
        <v>218</v>
      </c>
    </row>
    <row r="48" spans="3:3" x14ac:dyDescent="0.2">
      <c r="C48" t="s">
        <v>219</v>
      </c>
    </row>
    <row r="49" spans="3:3" x14ac:dyDescent="0.2">
      <c r="C49" t="s">
        <v>220</v>
      </c>
    </row>
    <row r="50" spans="3:3" x14ac:dyDescent="0.2">
      <c r="C50" t="s">
        <v>221</v>
      </c>
    </row>
    <row r="51" spans="3:3" x14ac:dyDescent="0.2">
      <c r="C51" t="s">
        <v>222</v>
      </c>
    </row>
    <row r="52" spans="3:3" x14ac:dyDescent="0.2">
      <c r="C52" t="s">
        <v>223</v>
      </c>
    </row>
    <row r="53" spans="3:3" x14ac:dyDescent="0.2">
      <c r="C53" t="s">
        <v>224</v>
      </c>
    </row>
    <row r="54" spans="3:3" x14ac:dyDescent="0.2">
      <c r="C54" t="s">
        <v>225</v>
      </c>
    </row>
    <row r="55" spans="3:3" x14ac:dyDescent="0.2">
      <c r="C55" t="s">
        <v>226</v>
      </c>
    </row>
    <row r="56" spans="3:3" x14ac:dyDescent="0.2">
      <c r="C56" t="s">
        <v>227</v>
      </c>
    </row>
    <row r="57" spans="3:3" x14ac:dyDescent="0.2">
      <c r="C57" t="s">
        <v>228</v>
      </c>
    </row>
    <row r="58" spans="3:3" x14ac:dyDescent="0.2">
      <c r="C58" t="s">
        <v>229</v>
      </c>
    </row>
    <row r="59" spans="3:3" x14ac:dyDescent="0.2">
      <c r="C59" t="s">
        <v>230</v>
      </c>
    </row>
    <row r="60" spans="3:3" x14ac:dyDescent="0.2">
      <c r="C60" t="s">
        <v>231</v>
      </c>
    </row>
    <row r="61" spans="3:3" x14ac:dyDescent="0.2">
      <c r="C61" t="s">
        <v>232</v>
      </c>
    </row>
    <row r="62" spans="3:3" x14ac:dyDescent="0.2">
      <c r="C62" t="s">
        <v>233</v>
      </c>
    </row>
    <row r="63" spans="3:3" x14ac:dyDescent="0.2">
      <c r="C63" t="s">
        <v>234</v>
      </c>
    </row>
    <row r="64" spans="3:3" x14ac:dyDescent="0.2">
      <c r="C64" t="s">
        <v>235</v>
      </c>
    </row>
    <row r="65" spans="3:3" x14ac:dyDescent="0.2">
      <c r="C65" t="s">
        <v>236</v>
      </c>
    </row>
    <row r="66" spans="3:3" x14ac:dyDescent="0.2">
      <c r="C66" t="s">
        <v>237</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仕入れ</vt:lpstr>
      <vt:lpstr>ページ</vt:lpstr>
      <vt:lpstr>売却済み</vt:lpstr>
      <vt:lpstr>生活費</vt:lpstr>
      <vt:lpstr>いいね！タイミング調査</vt:lpstr>
      <vt:lpstr>Sheet1</vt:lpstr>
    </vt:vector>
  </TitlesOfParts>
  <Company>HP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青柳新平</dc:creator>
  <cp:lastModifiedBy>青柳新平</cp:lastModifiedBy>
  <dcterms:created xsi:type="dcterms:W3CDTF">2026-04-08T00:49:04Z</dcterms:created>
  <dcterms:modified xsi:type="dcterms:W3CDTF">2026-05-22T06:54:11Z</dcterms:modified>
</cp:coreProperties>
</file>